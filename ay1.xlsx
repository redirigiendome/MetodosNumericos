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d1cc\OneDrive\Desktop\"/>
    </mc:Choice>
  </mc:AlternateContent>
  <xr:revisionPtr revIDLastSave="0" documentId="8_{6BF5F644-D9F3-42E8-868F-DF529EF43F9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uia" sheetId="1" r:id="rId1"/>
    <sheet name="Lineal" sheetId="2" r:id="rId2"/>
    <sheet name="Cuadratico" sheetId="3" r:id="rId3"/>
    <sheet name="Logaritmico" sheetId="4" r:id="rId4"/>
    <sheet name="Exponencial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2" l="1"/>
  <c r="I11" i="2"/>
  <c r="I8" i="2"/>
  <c r="I6" i="6"/>
  <c r="I5" i="6"/>
  <c r="D2" i="6"/>
  <c r="I2" i="6" s="1"/>
  <c r="C2" i="6"/>
  <c r="D5" i="5"/>
  <c r="C5" i="5"/>
  <c r="F104" i="5"/>
  <c r="G104" i="5" s="1"/>
  <c r="E104" i="5"/>
  <c r="C104" i="5"/>
  <c r="D104" i="5" s="1"/>
  <c r="F103" i="5"/>
  <c r="G103" i="5" s="1"/>
  <c r="E103" i="5"/>
  <c r="C103" i="5"/>
  <c r="D103" i="5" s="1"/>
  <c r="F102" i="5"/>
  <c r="G102" i="5" s="1"/>
  <c r="E102" i="5"/>
  <c r="C102" i="5"/>
  <c r="D102" i="5" s="1"/>
  <c r="F101" i="5"/>
  <c r="G101" i="5" s="1"/>
  <c r="E101" i="5"/>
  <c r="C101" i="5"/>
  <c r="D101" i="5" s="1"/>
  <c r="F100" i="5"/>
  <c r="G100" i="5" s="1"/>
  <c r="E100" i="5"/>
  <c r="C100" i="5"/>
  <c r="D100" i="5" s="1"/>
  <c r="F99" i="5"/>
  <c r="G99" i="5" s="1"/>
  <c r="E99" i="5"/>
  <c r="C99" i="5"/>
  <c r="D99" i="5" s="1"/>
  <c r="F98" i="5"/>
  <c r="G98" i="5" s="1"/>
  <c r="E98" i="5"/>
  <c r="C98" i="5"/>
  <c r="D98" i="5" s="1"/>
  <c r="F97" i="5"/>
  <c r="G97" i="5" s="1"/>
  <c r="E97" i="5"/>
  <c r="C97" i="5"/>
  <c r="D97" i="5" s="1"/>
  <c r="F96" i="5"/>
  <c r="G96" i="5" s="1"/>
  <c r="E96" i="5"/>
  <c r="C96" i="5"/>
  <c r="D96" i="5" s="1"/>
  <c r="F95" i="5"/>
  <c r="G95" i="5" s="1"/>
  <c r="E95" i="5"/>
  <c r="C95" i="5"/>
  <c r="D95" i="5" s="1"/>
  <c r="F94" i="5"/>
  <c r="G94" i="5" s="1"/>
  <c r="E94" i="5"/>
  <c r="C94" i="5"/>
  <c r="D94" i="5" s="1"/>
  <c r="F93" i="5"/>
  <c r="G93" i="5" s="1"/>
  <c r="E93" i="5"/>
  <c r="C93" i="5"/>
  <c r="D93" i="5" s="1"/>
  <c r="F92" i="5"/>
  <c r="G92" i="5" s="1"/>
  <c r="E92" i="5"/>
  <c r="C92" i="5"/>
  <c r="D92" i="5" s="1"/>
  <c r="F91" i="5"/>
  <c r="G91" i="5" s="1"/>
  <c r="E91" i="5"/>
  <c r="C91" i="5"/>
  <c r="D91" i="5" s="1"/>
  <c r="F90" i="5"/>
  <c r="G90" i="5" s="1"/>
  <c r="E90" i="5"/>
  <c r="C90" i="5"/>
  <c r="D90" i="5" s="1"/>
  <c r="F89" i="5"/>
  <c r="G89" i="5" s="1"/>
  <c r="E89" i="5"/>
  <c r="C89" i="5"/>
  <c r="D89" i="5" s="1"/>
  <c r="F88" i="5"/>
  <c r="G88" i="5" s="1"/>
  <c r="E88" i="5"/>
  <c r="C88" i="5"/>
  <c r="D88" i="5" s="1"/>
  <c r="F87" i="5"/>
  <c r="G87" i="5" s="1"/>
  <c r="E87" i="5"/>
  <c r="C87" i="5"/>
  <c r="D87" i="5" s="1"/>
  <c r="F86" i="5"/>
  <c r="G86" i="5" s="1"/>
  <c r="E86" i="5"/>
  <c r="C86" i="5"/>
  <c r="D86" i="5" s="1"/>
  <c r="F85" i="5"/>
  <c r="G85" i="5" s="1"/>
  <c r="E85" i="5"/>
  <c r="C85" i="5"/>
  <c r="D85" i="5" s="1"/>
  <c r="F84" i="5"/>
  <c r="G84" i="5" s="1"/>
  <c r="E84" i="5"/>
  <c r="C84" i="5"/>
  <c r="D84" i="5" s="1"/>
  <c r="F83" i="5"/>
  <c r="G83" i="5" s="1"/>
  <c r="E83" i="5"/>
  <c r="C83" i="5"/>
  <c r="D83" i="5" s="1"/>
  <c r="F82" i="5"/>
  <c r="G82" i="5" s="1"/>
  <c r="E82" i="5"/>
  <c r="C82" i="5"/>
  <c r="D82" i="5" s="1"/>
  <c r="F81" i="5"/>
  <c r="G81" i="5" s="1"/>
  <c r="E81" i="5"/>
  <c r="C81" i="5"/>
  <c r="D81" i="5" s="1"/>
  <c r="F80" i="5"/>
  <c r="G80" i="5" s="1"/>
  <c r="E80" i="5"/>
  <c r="C80" i="5"/>
  <c r="D80" i="5" s="1"/>
  <c r="F79" i="5"/>
  <c r="G79" i="5" s="1"/>
  <c r="E79" i="5"/>
  <c r="C79" i="5"/>
  <c r="D79" i="5" s="1"/>
  <c r="F78" i="5"/>
  <c r="G78" i="5" s="1"/>
  <c r="E78" i="5"/>
  <c r="C78" i="5"/>
  <c r="D78" i="5" s="1"/>
  <c r="F77" i="5"/>
  <c r="G77" i="5" s="1"/>
  <c r="E77" i="5"/>
  <c r="C77" i="5"/>
  <c r="D77" i="5" s="1"/>
  <c r="F76" i="5"/>
  <c r="G76" i="5" s="1"/>
  <c r="E76" i="5"/>
  <c r="C76" i="5"/>
  <c r="D76" i="5" s="1"/>
  <c r="F75" i="5"/>
  <c r="G75" i="5" s="1"/>
  <c r="E75" i="5"/>
  <c r="C75" i="5"/>
  <c r="D75" i="5" s="1"/>
  <c r="F74" i="5"/>
  <c r="G74" i="5" s="1"/>
  <c r="E74" i="5"/>
  <c r="C74" i="5"/>
  <c r="D74" i="5" s="1"/>
  <c r="F73" i="5"/>
  <c r="G73" i="5" s="1"/>
  <c r="E73" i="5"/>
  <c r="C73" i="5"/>
  <c r="D73" i="5" s="1"/>
  <c r="F72" i="5"/>
  <c r="G72" i="5" s="1"/>
  <c r="E72" i="5"/>
  <c r="C72" i="5"/>
  <c r="D72" i="5" s="1"/>
  <c r="F71" i="5"/>
  <c r="G71" i="5" s="1"/>
  <c r="E71" i="5"/>
  <c r="C71" i="5"/>
  <c r="D71" i="5" s="1"/>
  <c r="F70" i="5"/>
  <c r="G70" i="5" s="1"/>
  <c r="E70" i="5"/>
  <c r="C70" i="5"/>
  <c r="D70" i="5" s="1"/>
  <c r="F69" i="5"/>
  <c r="G69" i="5" s="1"/>
  <c r="E69" i="5"/>
  <c r="C69" i="5"/>
  <c r="D69" i="5" s="1"/>
  <c r="F68" i="5"/>
  <c r="G68" i="5" s="1"/>
  <c r="E68" i="5"/>
  <c r="C68" i="5"/>
  <c r="D68" i="5" s="1"/>
  <c r="F67" i="5"/>
  <c r="G67" i="5" s="1"/>
  <c r="E67" i="5"/>
  <c r="C67" i="5"/>
  <c r="D67" i="5" s="1"/>
  <c r="F66" i="5"/>
  <c r="G66" i="5" s="1"/>
  <c r="E66" i="5"/>
  <c r="C66" i="5"/>
  <c r="D66" i="5" s="1"/>
  <c r="F65" i="5"/>
  <c r="G65" i="5" s="1"/>
  <c r="E65" i="5"/>
  <c r="C65" i="5"/>
  <c r="D65" i="5" s="1"/>
  <c r="F64" i="5"/>
  <c r="G64" i="5" s="1"/>
  <c r="E64" i="5"/>
  <c r="C64" i="5"/>
  <c r="D64" i="5" s="1"/>
  <c r="F63" i="5"/>
  <c r="G63" i="5" s="1"/>
  <c r="E63" i="5"/>
  <c r="C63" i="5"/>
  <c r="D63" i="5" s="1"/>
  <c r="F62" i="5"/>
  <c r="G62" i="5" s="1"/>
  <c r="E62" i="5"/>
  <c r="C62" i="5"/>
  <c r="D62" i="5" s="1"/>
  <c r="F61" i="5"/>
  <c r="G61" i="5" s="1"/>
  <c r="E61" i="5"/>
  <c r="C61" i="5"/>
  <c r="D61" i="5" s="1"/>
  <c r="F60" i="5"/>
  <c r="G60" i="5" s="1"/>
  <c r="E60" i="5"/>
  <c r="C60" i="5"/>
  <c r="D60" i="5" s="1"/>
  <c r="F59" i="5"/>
  <c r="G59" i="5" s="1"/>
  <c r="E59" i="5"/>
  <c r="C59" i="5"/>
  <c r="D59" i="5" s="1"/>
  <c r="F58" i="5"/>
  <c r="G58" i="5" s="1"/>
  <c r="E58" i="5"/>
  <c r="C58" i="5"/>
  <c r="D58" i="5" s="1"/>
  <c r="F57" i="5"/>
  <c r="G57" i="5" s="1"/>
  <c r="E57" i="5"/>
  <c r="C57" i="5"/>
  <c r="D57" i="5" s="1"/>
  <c r="F56" i="5"/>
  <c r="G56" i="5" s="1"/>
  <c r="E56" i="5"/>
  <c r="C56" i="5"/>
  <c r="D56" i="5" s="1"/>
  <c r="F55" i="5"/>
  <c r="G55" i="5" s="1"/>
  <c r="E55" i="5"/>
  <c r="C55" i="5"/>
  <c r="D55" i="5" s="1"/>
  <c r="F54" i="5"/>
  <c r="G54" i="5" s="1"/>
  <c r="E54" i="5"/>
  <c r="C54" i="5"/>
  <c r="D54" i="5" s="1"/>
  <c r="F53" i="5"/>
  <c r="G53" i="5" s="1"/>
  <c r="E53" i="5"/>
  <c r="C53" i="5"/>
  <c r="D53" i="5" s="1"/>
  <c r="F52" i="5"/>
  <c r="G52" i="5" s="1"/>
  <c r="E52" i="5"/>
  <c r="C52" i="5"/>
  <c r="D52" i="5" s="1"/>
  <c r="F51" i="5"/>
  <c r="G51" i="5" s="1"/>
  <c r="E51" i="5"/>
  <c r="C51" i="5"/>
  <c r="D51" i="5" s="1"/>
  <c r="F50" i="5"/>
  <c r="G50" i="5" s="1"/>
  <c r="E50" i="5"/>
  <c r="C50" i="5"/>
  <c r="D50" i="5" s="1"/>
  <c r="F49" i="5"/>
  <c r="G49" i="5" s="1"/>
  <c r="E49" i="5"/>
  <c r="C49" i="5"/>
  <c r="D49" i="5" s="1"/>
  <c r="F48" i="5"/>
  <c r="G48" i="5" s="1"/>
  <c r="E48" i="5"/>
  <c r="C48" i="5"/>
  <c r="D48" i="5" s="1"/>
  <c r="F47" i="5"/>
  <c r="G47" i="5" s="1"/>
  <c r="E47" i="5"/>
  <c r="C47" i="5"/>
  <c r="D47" i="5" s="1"/>
  <c r="F46" i="5"/>
  <c r="G46" i="5" s="1"/>
  <c r="E46" i="5"/>
  <c r="C46" i="5"/>
  <c r="D46" i="5" s="1"/>
  <c r="F45" i="5"/>
  <c r="G45" i="5" s="1"/>
  <c r="E45" i="5"/>
  <c r="C45" i="5"/>
  <c r="D45" i="5" s="1"/>
  <c r="F44" i="5"/>
  <c r="G44" i="5" s="1"/>
  <c r="E44" i="5"/>
  <c r="C44" i="5"/>
  <c r="D44" i="5" s="1"/>
  <c r="F43" i="5"/>
  <c r="G43" i="5" s="1"/>
  <c r="E43" i="5"/>
  <c r="C43" i="5"/>
  <c r="D43" i="5" s="1"/>
  <c r="F42" i="5"/>
  <c r="G42" i="5" s="1"/>
  <c r="E42" i="5"/>
  <c r="C42" i="5"/>
  <c r="D42" i="5" s="1"/>
  <c r="F41" i="5"/>
  <c r="G41" i="5" s="1"/>
  <c r="E41" i="5"/>
  <c r="C41" i="5"/>
  <c r="D41" i="5" s="1"/>
  <c r="F40" i="5"/>
  <c r="G40" i="5" s="1"/>
  <c r="E40" i="5"/>
  <c r="C40" i="5"/>
  <c r="D40" i="5" s="1"/>
  <c r="F39" i="5"/>
  <c r="G39" i="5" s="1"/>
  <c r="E39" i="5"/>
  <c r="C39" i="5"/>
  <c r="D39" i="5" s="1"/>
  <c r="F38" i="5"/>
  <c r="G38" i="5" s="1"/>
  <c r="E38" i="5"/>
  <c r="C38" i="5"/>
  <c r="D38" i="5" s="1"/>
  <c r="F37" i="5"/>
  <c r="G37" i="5" s="1"/>
  <c r="E37" i="5"/>
  <c r="C37" i="5"/>
  <c r="D37" i="5" s="1"/>
  <c r="F36" i="5"/>
  <c r="G36" i="5" s="1"/>
  <c r="E36" i="5"/>
  <c r="C36" i="5"/>
  <c r="D36" i="5" s="1"/>
  <c r="F35" i="5"/>
  <c r="G35" i="5" s="1"/>
  <c r="E35" i="5"/>
  <c r="C35" i="5"/>
  <c r="D35" i="5" s="1"/>
  <c r="F34" i="5"/>
  <c r="G34" i="5" s="1"/>
  <c r="E34" i="5"/>
  <c r="C34" i="5"/>
  <c r="D34" i="5" s="1"/>
  <c r="F33" i="5"/>
  <c r="G33" i="5" s="1"/>
  <c r="E33" i="5"/>
  <c r="C33" i="5"/>
  <c r="D33" i="5" s="1"/>
  <c r="F32" i="5"/>
  <c r="G32" i="5" s="1"/>
  <c r="E32" i="5"/>
  <c r="C32" i="5"/>
  <c r="D32" i="5" s="1"/>
  <c r="F31" i="5"/>
  <c r="G31" i="5" s="1"/>
  <c r="E31" i="5"/>
  <c r="C31" i="5"/>
  <c r="F30" i="5"/>
  <c r="G30" i="5" s="1"/>
  <c r="E30" i="5"/>
  <c r="C30" i="5"/>
  <c r="D30" i="5" s="1"/>
  <c r="F29" i="5"/>
  <c r="G29" i="5" s="1"/>
  <c r="E29" i="5"/>
  <c r="C29" i="5"/>
  <c r="D29" i="5" s="1"/>
  <c r="F28" i="5"/>
  <c r="G28" i="5" s="1"/>
  <c r="E28" i="5"/>
  <c r="C28" i="5"/>
  <c r="D28" i="5" s="1"/>
  <c r="F27" i="5"/>
  <c r="G27" i="5" s="1"/>
  <c r="E27" i="5"/>
  <c r="C27" i="5"/>
  <c r="D27" i="5" s="1"/>
  <c r="F26" i="5"/>
  <c r="G26" i="5" s="1"/>
  <c r="E26" i="5"/>
  <c r="C26" i="5"/>
  <c r="D26" i="5" s="1"/>
  <c r="F25" i="5"/>
  <c r="G25" i="5" s="1"/>
  <c r="E25" i="5"/>
  <c r="C25" i="5"/>
  <c r="D25" i="5" s="1"/>
  <c r="F24" i="5"/>
  <c r="G24" i="5" s="1"/>
  <c r="E24" i="5"/>
  <c r="C24" i="5"/>
  <c r="D24" i="5" s="1"/>
  <c r="F23" i="5"/>
  <c r="G23" i="5" s="1"/>
  <c r="E23" i="5"/>
  <c r="C23" i="5"/>
  <c r="D23" i="5" s="1"/>
  <c r="F22" i="5"/>
  <c r="G22" i="5" s="1"/>
  <c r="E22" i="5"/>
  <c r="C22" i="5"/>
  <c r="D22" i="5" s="1"/>
  <c r="F21" i="5"/>
  <c r="G21" i="5" s="1"/>
  <c r="E21" i="5"/>
  <c r="C21" i="5"/>
  <c r="D21" i="5" s="1"/>
  <c r="F20" i="5"/>
  <c r="G20" i="5" s="1"/>
  <c r="E20" i="5"/>
  <c r="C20" i="5"/>
  <c r="D20" i="5" s="1"/>
  <c r="F19" i="5"/>
  <c r="G19" i="5" s="1"/>
  <c r="E19" i="5"/>
  <c r="C19" i="5"/>
  <c r="D19" i="5" s="1"/>
  <c r="F18" i="5"/>
  <c r="G18" i="5" s="1"/>
  <c r="E18" i="5"/>
  <c r="C18" i="5"/>
  <c r="D18" i="5" s="1"/>
  <c r="F17" i="5"/>
  <c r="G17" i="5" s="1"/>
  <c r="E17" i="5"/>
  <c r="C17" i="5"/>
  <c r="D17" i="5" s="1"/>
  <c r="F16" i="5"/>
  <c r="G16" i="5" s="1"/>
  <c r="E16" i="5"/>
  <c r="C16" i="5"/>
  <c r="D16" i="5" s="1"/>
  <c r="F15" i="5"/>
  <c r="G15" i="5" s="1"/>
  <c r="E15" i="5"/>
  <c r="C15" i="5"/>
  <c r="D15" i="5" s="1"/>
  <c r="F14" i="5"/>
  <c r="G14" i="5" s="1"/>
  <c r="E14" i="5"/>
  <c r="C14" i="5"/>
  <c r="D14" i="5" s="1"/>
  <c r="F13" i="5"/>
  <c r="G13" i="5" s="1"/>
  <c r="E13" i="5"/>
  <c r="C13" i="5"/>
  <c r="D13" i="5" s="1"/>
  <c r="F12" i="5"/>
  <c r="G12" i="5" s="1"/>
  <c r="E12" i="5"/>
  <c r="C12" i="5"/>
  <c r="D12" i="5" s="1"/>
  <c r="F11" i="5"/>
  <c r="G11" i="5" s="1"/>
  <c r="E11" i="5"/>
  <c r="C11" i="5"/>
  <c r="D11" i="5" s="1"/>
  <c r="F10" i="5"/>
  <c r="G10" i="5" s="1"/>
  <c r="E10" i="5"/>
  <c r="C10" i="5"/>
  <c r="D10" i="5" s="1"/>
  <c r="F9" i="5"/>
  <c r="G9" i="5" s="1"/>
  <c r="E9" i="5"/>
  <c r="C9" i="5"/>
  <c r="D9" i="5" s="1"/>
  <c r="E8" i="5"/>
  <c r="C8" i="5"/>
  <c r="D8" i="5" s="1"/>
  <c r="E7" i="5"/>
  <c r="C7" i="5"/>
  <c r="D7" i="5" s="1"/>
  <c r="E6" i="5"/>
  <c r="C6" i="5"/>
  <c r="D6" i="5" s="1"/>
  <c r="I5" i="5"/>
  <c r="E5" i="5"/>
  <c r="I8" i="5" s="1"/>
  <c r="F104" i="4"/>
  <c r="G104" i="4" s="1"/>
  <c r="C104" i="4"/>
  <c r="F103" i="4"/>
  <c r="G103" i="4" s="1"/>
  <c r="C103" i="4"/>
  <c r="F102" i="4"/>
  <c r="G102" i="4" s="1"/>
  <c r="C102" i="4"/>
  <c r="F101" i="4"/>
  <c r="G101" i="4" s="1"/>
  <c r="C101" i="4"/>
  <c r="F100" i="4"/>
  <c r="G100" i="4" s="1"/>
  <c r="C100" i="4"/>
  <c r="F99" i="4"/>
  <c r="G99" i="4" s="1"/>
  <c r="C99" i="4"/>
  <c r="F98" i="4"/>
  <c r="G98" i="4" s="1"/>
  <c r="C98" i="4"/>
  <c r="F97" i="4"/>
  <c r="G97" i="4" s="1"/>
  <c r="C97" i="4"/>
  <c r="F96" i="4"/>
  <c r="G96" i="4" s="1"/>
  <c r="C96" i="4"/>
  <c r="F95" i="4"/>
  <c r="G95" i="4" s="1"/>
  <c r="C95" i="4"/>
  <c r="F94" i="4"/>
  <c r="G94" i="4" s="1"/>
  <c r="C94" i="4"/>
  <c r="F93" i="4"/>
  <c r="G93" i="4" s="1"/>
  <c r="C93" i="4"/>
  <c r="F92" i="4"/>
  <c r="G92" i="4" s="1"/>
  <c r="C92" i="4"/>
  <c r="F91" i="4"/>
  <c r="G91" i="4" s="1"/>
  <c r="C91" i="4"/>
  <c r="F90" i="4"/>
  <c r="G90" i="4" s="1"/>
  <c r="C90" i="4"/>
  <c r="F89" i="4"/>
  <c r="G89" i="4" s="1"/>
  <c r="D89" i="4"/>
  <c r="C89" i="4"/>
  <c r="E89" i="4" s="1"/>
  <c r="F88" i="4"/>
  <c r="G88" i="4" s="1"/>
  <c r="C88" i="4"/>
  <c r="F87" i="4"/>
  <c r="G87" i="4" s="1"/>
  <c r="C87" i="4"/>
  <c r="F86" i="4"/>
  <c r="G86" i="4" s="1"/>
  <c r="C86" i="4"/>
  <c r="F85" i="4"/>
  <c r="G85" i="4" s="1"/>
  <c r="C85" i="4"/>
  <c r="F84" i="4"/>
  <c r="G84" i="4" s="1"/>
  <c r="C84" i="4"/>
  <c r="F83" i="4"/>
  <c r="G83" i="4" s="1"/>
  <c r="C83" i="4"/>
  <c r="F82" i="4"/>
  <c r="G82" i="4" s="1"/>
  <c r="C82" i="4"/>
  <c r="F81" i="4"/>
  <c r="G81" i="4" s="1"/>
  <c r="C81" i="4"/>
  <c r="F80" i="4"/>
  <c r="G80" i="4" s="1"/>
  <c r="C80" i="4"/>
  <c r="F79" i="4"/>
  <c r="G79" i="4" s="1"/>
  <c r="C79" i="4"/>
  <c r="F78" i="4"/>
  <c r="G78" i="4" s="1"/>
  <c r="C78" i="4"/>
  <c r="F77" i="4"/>
  <c r="G77" i="4" s="1"/>
  <c r="C77" i="4"/>
  <c r="F76" i="4"/>
  <c r="G76" i="4" s="1"/>
  <c r="C76" i="4"/>
  <c r="F75" i="4"/>
  <c r="G75" i="4" s="1"/>
  <c r="C75" i="4"/>
  <c r="F74" i="4"/>
  <c r="G74" i="4" s="1"/>
  <c r="C74" i="4"/>
  <c r="F73" i="4"/>
  <c r="G73" i="4" s="1"/>
  <c r="C73" i="4"/>
  <c r="F72" i="4"/>
  <c r="G72" i="4" s="1"/>
  <c r="C72" i="4"/>
  <c r="F71" i="4"/>
  <c r="G71" i="4" s="1"/>
  <c r="C71" i="4"/>
  <c r="F70" i="4"/>
  <c r="G70" i="4" s="1"/>
  <c r="C70" i="4"/>
  <c r="F69" i="4"/>
  <c r="G69" i="4" s="1"/>
  <c r="C69" i="4"/>
  <c r="F68" i="4"/>
  <c r="G68" i="4" s="1"/>
  <c r="C68" i="4"/>
  <c r="F67" i="4"/>
  <c r="G67" i="4" s="1"/>
  <c r="C67" i="4"/>
  <c r="F66" i="4"/>
  <c r="G66" i="4" s="1"/>
  <c r="C66" i="4"/>
  <c r="F65" i="4"/>
  <c r="G65" i="4" s="1"/>
  <c r="C65" i="4"/>
  <c r="F64" i="4"/>
  <c r="G64" i="4" s="1"/>
  <c r="C64" i="4"/>
  <c r="F63" i="4"/>
  <c r="G63" i="4" s="1"/>
  <c r="C63" i="4"/>
  <c r="F62" i="4"/>
  <c r="G62" i="4" s="1"/>
  <c r="C62" i="4"/>
  <c r="F61" i="4"/>
  <c r="G61" i="4" s="1"/>
  <c r="C61" i="4"/>
  <c r="F60" i="4"/>
  <c r="G60" i="4" s="1"/>
  <c r="C60" i="4"/>
  <c r="F59" i="4"/>
  <c r="G59" i="4" s="1"/>
  <c r="C59" i="4"/>
  <c r="F58" i="4"/>
  <c r="G58" i="4" s="1"/>
  <c r="E58" i="4"/>
  <c r="C58" i="4"/>
  <c r="D58" i="4" s="1"/>
  <c r="F57" i="4"/>
  <c r="G57" i="4" s="1"/>
  <c r="C57" i="4"/>
  <c r="F56" i="4"/>
  <c r="G56" i="4" s="1"/>
  <c r="C56" i="4"/>
  <c r="F55" i="4"/>
  <c r="G55" i="4" s="1"/>
  <c r="C55" i="4"/>
  <c r="F54" i="4"/>
  <c r="G54" i="4" s="1"/>
  <c r="C54" i="4"/>
  <c r="F53" i="4"/>
  <c r="G53" i="4" s="1"/>
  <c r="C53" i="4"/>
  <c r="F52" i="4"/>
  <c r="G52" i="4" s="1"/>
  <c r="C52" i="4"/>
  <c r="F51" i="4"/>
  <c r="G51" i="4" s="1"/>
  <c r="C51" i="4"/>
  <c r="F50" i="4"/>
  <c r="G50" i="4" s="1"/>
  <c r="C50" i="4"/>
  <c r="F49" i="4"/>
  <c r="G49" i="4" s="1"/>
  <c r="C49" i="4"/>
  <c r="F48" i="4"/>
  <c r="G48" i="4" s="1"/>
  <c r="C48" i="4"/>
  <c r="F47" i="4"/>
  <c r="G47" i="4" s="1"/>
  <c r="C47" i="4"/>
  <c r="F46" i="4"/>
  <c r="G46" i="4" s="1"/>
  <c r="C46" i="4"/>
  <c r="F45" i="4"/>
  <c r="G45" i="4" s="1"/>
  <c r="C45" i="4"/>
  <c r="F44" i="4"/>
  <c r="G44" i="4" s="1"/>
  <c r="C44" i="4"/>
  <c r="F43" i="4"/>
  <c r="G43" i="4" s="1"/>
  <c r="C43" i="4"/>
  <c r="F42" i="4"/>
  <c r="G42" i="4" s="1"/>
  <c r="C42" i="4"/>
  <c r="F41" i="4"/>
  <c r="G41" i="4" s="1"/>
  <c r="C41" i="4"/>
  <c r="F40" i="4"/>
  <c r="G40" i="4" s="1"/>
  <c r="C40" i="4"/>
  <c r="F39" i="4"/>
  <c r="G39" i="4" s="1"/>
  <c r="C39" i="4"/>
  <c r="F38" i="4"/>
  <c r="G38" i="4" s="1"/>
  <c r="C38" i="4"/>
  <c r="F37" i="4"/>
  <c r="G37" i="4" s="1"/>
  <c r="C37" i="4"/>
  <c r="F36" i="4"/>
  <c r="G36" i="4" s="1"/>
  <c r="C36" i="4"/>
  <c r="F35" i="4"/>
  <c r="G35" i="4" s="1"/>
  <c r="C35" i="4"/>
  <c r="F34" i="4"/>
  <c r="G34" i="4" s="1"/>
  <c r="C34" i="4"/>
  <c r="F33" i="4"/>
  <c r="G33" i="4" s="1"/>
  <c r="C33" i="4"/>
  <c r="F32" i="4"/>
  <c r="G32" i="4" s="1"/>
  <c r="C32" i="4"/>
  <c r="F31" i="4"/>
  <c r="G31" i="4" s="1"/>
  <c r="C31" i="4"/>
  <c r="F30" i="4"/>
  <c r="G30" i="4" s="1"/>
  <c r="C30" i="4"/>
  <c r="F29" i="4"/>
  <c r="G29" i="4" s="1"/>
  <c r="C29" i="4"/>
  <c r="F28" i="4"/>
  <c r="G28" i="4" s="1"/>
  <c r="C28" i="4"/>
  <c r="F27" i="4"/>
  <c r="G27" i="4" s="1"/>
  <c r="C27" i="4"/>
  <c r="F26" i="4"/>
  <c r="G26" i="4" s="1"/>
  <c r="C26" i="4"/>
  <c r="F25" i="4"/>
  <c r="G25" i="4" s="1"/>
  <c r="C25" i="4"/>
  <c r="F24" i="4"/>
  <c r="G24" i="4" s="1"/>
  <c r="C24" i="4"/>
  <c r="F23" i="4"/>
  <c r="G23" i="4" s="1"/>
  <c r="C23" i="4"/>
  <c r="F22" i="4"/>
  <c r="G22" i="4" s="1"/>
  <c r="C22" i="4"/>
  <c r="F21" i="4"/>
  <c r="G21" i="4" s="1"/>
  <c r="C21" i="4"/>
  <c r="F20" i="4"/>
  <c r="G20" i="4" s="1"/>
  <c r="C20" i="4"/>
  <c r="F19" i="4"/>
  <c r="G19" i="4" s="1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I6" i="4"/>
  <c r="C6" i="4"/>
  <c r="C5" i="4"/>
  <c r="H104" i="3"/>
  <c r="I104" i="3" s="1"/>
  <c r="F104" i="3"/>
  <c r="E104" i="3"/>
  <c r="D104" i="3"/>
  <c r="C104" i="3"/>
  <c r="G104" i="3" s="1"/>
  <c r="H103" i="3"/>
  <c r="I103" i="3" s="1"/>
  <c r="F103" i="3"/>
  <c r="E103" i="3"/>
  <c r="D103" i="3"/>
  <c r="C103" i="3"/>
  <c r="G103" i="3" s="1"/>
  <c r="H102" i="3"/>
  <c r="I102" i="3" s="1"/>
  <c r="F102" i="3"/>
  <c r="E102" i="3"/>
  <c r="D102" i="3"/>
  <c r="C102" i="3"/>
  <c r="G102" i="3" s="1"/>
  <c r="H101" i="3"/>
  <c r="I101" i="3" s="1"/>
  <c r="F101" i="3"/>
  <c r="E101" i="3"/>
  <c r="D101" i="3"/>
  <c r="C101" i="3"/>
  <c r="G101" i="3" s="1"/>
  <c r="H100" i="3"/>
  <c r="I100" i="3" s="1"/>
  <c r="F100" i="3"/>
  <c r="E100" i="3"/>
  <c r="D100" i="3"/>
  <c r="C100" i="3"/>
  <c r="G100" i="3" s="1"/>
  <c r="H99" i="3"/>
  <c r="I99" i="3" s="1"/>
  <c r="F99" i="3"/>
  <c r="E99" i="3"/>
  <c r="D99" i="3"/>
  <c r="C99" i="3"/>
  <c r="G99" i="3" s="1"/>
  <c r="H98" i="3"/>
  <c r="I98" i="3" s="1"/>
  <c r="F98" i="3"/>
  <c r="E98" i="3"/>
  <c r="D98" i="3"/>
  <c r="C98" i="3"/>
  <c r="G98" i="3" s="1"/>
  <c r="H97" i="3"/>
  <c r="I97" i="3" s="1"/>
  <c r="F97" i="3"/>
  <c r="E97" i="3"/>
  <c r="D97" i="3"/>
  <c r="C97" i="3"/>
  <c r="G97" i="3" s="1"/>
  <c r="H96" i="3"/>
  <c r="I96" i="3" s="1"/>
  <c r="F96" i="3"/>
  <c r="E96" i="3"/>
  <c r="D96" i="3"/>
  <c r="C96" i="3"/>
  <c r="G96" i="3" s="1"/>
  <c r="H95" i="3"/>
  <c r="I95" i="3" s="1"/>
  <c r="F95" i="3"/>
  <c r="E95" i="3"/>
  <c r="D95" i="3"/>
  <c r="C95" i="3"/>
  <c r="G95" i="3" s="1"/>
  <c r="H94" i="3"/>
  <c r="I94" i="3" s="1"/>
  <c r="F94" i="3"/>
  <c r="E94" i="3"/>
  <c r="D94" i="3"/>
  <c r="C94" i="3"/>
  <c r="G94" i="3" s="1"/>
  <c r="H93" i="3"/>
  <c r="I93" i="3" s="1"/>
  <c r="F93" i="3"/>
  <c r="E93" i="3"/>
  <c r="D93" i="3"/>
  <c r="C93" i="3"/>
  <c r="G93" i="3" s="1"/>
  <c r="H92" i="3"/>
  <c r="I92" i="3" s="1"/>
  <c r="F92" i="3"/>
  <c r="E92" i="3"/>
  <c r="D92" i="3"/>
  <c r="C92" i="3"/>
  <c r="G92" i="3" s="1"/>
  <c r="H91" i="3"/>
  <c r="I91" i="3" s="1"/>
  <c r="F91" i="3"/>
  <c r="E91" i="3"/>
  <c r="D91" i="3"/>
  <c r="C91" i="3"/>
  <c r="G91" i="3" s="1"/>
  <c r="H90" i="3"/>
  <c r="I90" i="3" s="1"/>
  <c r="F90" i="3"/>
  <c r="E90" i="3"/>
  <c r="D90" i="3"/>
  <c r="C90" i="3"/>
  <c r="G90" i="3" s="1"/>
  <c r="H89" i="3"/>
  <c r="I89" i="3" s="1"/>
  <c r="F89" i="3"/>
  <c r="E89" i="3"/>
  <c r="D89" i="3"/>
  <c r="C89" i="3"/>
  <c r="G89" i="3" s="1"/>
  <c r="H88" i="3"/>
  <c r="I88" i="3" s="1"/>
  <c r="F88" i="3"/>
  <c r="E88" i="3"/>
  <c r="D88" i="3"/>
  <c r="C88" i="3"/>
  <c r="G88" i="3" s="1"/>
  <c r="H87" i="3"/>
  <c r="I87" i="3" s="1"/>
  <c r="F87" i="3"/>
  <c r="E87" i="3"/>
  <c r="D87" i="3"/>
  <c r="C87" i="3"/>
  <c r="G87" i="3" s="1"/>
  <c r="H86" i="3"/>
  <c r="I86" i="3" s="1"/>
  <c r="F86" i="3"/>
  <c r="E86" i="3"/>
  <c r="D86" i="3"/>
  <c r="C86" i="3"/>
  <c r="G86" i="3" s="1"/>
  <c r="H85" i="3"/>
  <c r="I85" i="3" s="1"/>
  <c r="F85" i="3"/>
  <c r="E85" i="3"/>
  <c r="D85" i="3"/>
  <c r="C85" i="3"/>
  <c r="G85" i="3" s="1"/>
  <c r="H84" i="3"/>
  <c r="I84" i="3" s="1"/>
  <c r="F84" i="3"/>
  <c r="E84" i="3"/>
  <c r="D84" i="3"/>
  <c r="C84" i="3"/>
  <c r="G84" i="3" s="1"/>
  <c r="H83" i="3"/>
  <c r="I83" i="3" s="1"/>
  <c r="F83" i="3"/>
  <c r="E83" i="3"/>
  <c r="D83" i="3"/>
  <c r="C83" i="3"/>
  <c r="G83" i="3" s="1"/>
  <c r="H82" i="3"/>
  <c r="I82" i="3" s="1"/>
  <c r="F82" i="3"/>
  <c r="E82" i="3"/>
  <c r="D82" i="3"/>
  <c r="C82" i="3"/>
  <c r="G82" i="3" s="1"/>
  <c r="H81" i="3"/>
  <c r="I81" i="3" s="1"/>
  <c r="F81" i="3"/>
  <c r="E81" i="3"/>
  <c r="D81" i="3"/>
  <c r="C81" i="3"/>
  <c r="G81" i="3" s="1"/>
  <c r="H80" i="3"/>
  <c r="I80" i="3" s="1"/>
  <c r="F80" i="3"/>
  <c r="E80" i="3"/>
  <c r="D80" i="3"/>
  <c r="C80" i="3"/>
  <c r="G80" i="3" s="1"/>
  <c r="H79" i="3"/>
  <c r="I79" i="3" s="1"/>
  <c r="F79" i="3"/>
  <c r="E79" i="3"/>
  <c r="D79" i="3"/>
  <c r="C79" i="3"/>
  <c r="G79" i="3" s="1"/>
  <c r="H78" i="3"/>
  <c r="I78" i="3" s="1"/>
  <c r="F78" i="3"/>
  <c r="E78" i="3"/>
  <c r="D78" i="3"/>
  <c r="C78" i="3"/>
  <c r="G78" i="3" s="1"/>
  <c r="H77" i="3"/>
  <c r="I77" i="3" s="1"/>
  <c r="F77" i="3"/>
  <c r="E77" i="3"/>
  <c r="D77" i="3"/>
  <c r="C77" i="3"/>
  <c r="G77" i="3" s="1"/>
  <c r="H76" i="3"/>
  <c r="I76" i="3" s="1"/>
  <c r="F76" i="3"/>
  <c r="E76" i="3"/>
  <c r="D76" i="3"/>
  <c r="C76" i="3"/>
  <c r="G76" i="3" s="1"/>
  <c r="H75" i="3"/>
  <c r="I75" i="3" s="1"/>
  <c r="F75" i="3"/>
  <c r="E75" i="3"/>
  <c r="D75" i="3"/>
  <c r="C75" i="3"/>
  <c r="G75" i="3" s="1"/>
  <c r="H74" i="3"/>
  <c r="I74" i="3" s="1"/>
  <c r="F74" i="3"/>
  <c r="E74" i="3"/>
  <c r="D74" i="3"/>
  <c r="C74" i="3"/>
  <c r="G74" i="3" s="1"/>
  <c r="H73" i="3"/>
  <c r="I73" i="3" s="1"/>
  <c r="F73" i="3"/>
  <c r="E73" i="3"/>
  <c r="D73" i="3"/>
  <c r="C73" i="3"/>
  <c r="G73" i="3" s="1"/>
  <c r="H72" i="3"/>
  <c r="I72" i="3" s="1"/>
  <c r="F72" i="3"/>
  <c r="E72" i="3"/>
  <c r="D72" i="3"/>
  <c r="C72" i="3"/>
  <c r="G72" i="3" s="1"/>
  <c r="H71" i="3"/>
  <c r="I71" i="3" s="1"/>
  <c r="F71" i="3"/>
  <c r="E71" i="3"/>
  <c r="D71" i="3"/>
  <c r="C71" i="3"/>
  <c r="G71" i="3" s="1"/>
  <c r="H70" i="3"/>
  <c r="I70" i="3" s="1"/>
  <c r="F70" i="3"/>
  <c r="E70" i="3"/>
  <c r="D70" i="3"/>
  <c r="C70" i="3"/>
  <c r="G70" i="3" s="1"/>
  <c r="H69" i="3"/>
  <c r="I69" i="3" s="1"/>
  <c r="F69" i="3"/>
  <c r="E69" i="3"/>
  <c r="D69" i="3"/>
  <c r="C69" i="3"/>
  <c r="G69" i="3" s="1"/>
  <c r="H68" i="3"/>
  <c r="I68" i="3" s="1"/>
  <c r="F68" i="3"/>
  <c r="E68" i="3"/>
  <c r="D68" i="3"/>
  <c r="C68" i="3"/>
  <c r="G68" i="3" s="1"/>
  <c r="H67" i="3"/>
  <c r="I67" i="3" s="1"/>
  <c r="F67" i="3"/>
  <c r="E67" i="3"/>
  <c r="D67" i="3"/>
  <c r="C67" i="3"/>
  <c r="G67" i="3" s="1"/>
  <c r="H66" i="3"/>
  <c r="I66" i="3" s="1"/>
  <c r="F66" i="3"/>
  <c r="E66" i="3"/>
  <c r="D66" i="3"/>
  <c r="C66" i="3"/>
  <c r="G66" i="3" s="1"/>
  <c r="H65" i="3"/>
  <c r="I65" i="3" s="1"/>
  <c r="F65" i="3"/>
  <c r="E65" i="3"/>
  <c r="D65" i="3"/>
  <c r="C65" i="3"/>
  <c r="G65" i="3" s="1"/>
  <c r="H64" i="3"/>
  <c r="I64" i="3" s="1"/>
  <c r="F64" i="3"/>
  <c r="E64" i="3"/>
  <c r="D64" i="3"/>
  <c r="C64" i="3"/>
  <c r="G64" i="3" s="1"/>
  <c r="H63" i="3"/>
  <c r="I63" i="3" s="1"/>
  <c r="F63" i="3"/>
  <c r="E63" i="3"/>
  <c r="D63" i="3"/>
  <c r="C63" i="3"/>
  <c r="G63" i="3" s="1"/>
  <c r="H62" i="3"/>
  <c r="I62" i="3" s="1"/>
  <c r="F62" i="3"/>
  <c r="E62" i="3"/>
  <c r="D62" i="3"/>
  <c r="C62" i="3"/>
  <c r="G62" i="3" s="1"/>
  <c r="H61" i="3"/>
  <c r="I61" i="3" s="1"/>
  <c r="F61" i="3"/>
  <c r="E61" i="3"/>
  <c r="D61" i="3"/>
  <c r="C61" i="3"/>
  <c r="G61" i="3" s="1"/>
  <c r="H60" i="3"/>
  <c r="I60" i="3" s="1"/>
  <c r="F60" i="3"/>
  <c r="E60" i="3"/>
  <c r="D60" i="3"/>
  <c r="C60" i="3"/>
  <c r="G60" i="3" s="1"/>
  <c r="H59" i="3"/>
  <c r="I59" i="3" s="1"/>
  <c r="F59" i="3"/>
  <c r="E59" i="3"/>
  <c r="D59" i="3"/>
  <c r="C59" i="3"/>
  <c r="G59" i="3" s="1"/>
  <c r="H58" i="3"/>
  <c r="I58" i="3" s="1"/>
  <c r="F58" i="3"/>
  <c r="E58" i="3"/>
  <c r="D58" i="3"/>
  <c r="C58" i="3"/>
  <c r="G58" i="3" s="1"/>
  <c r="H57" i="3"/>
  <c r="I57" i="3" s="1"/>
  <c r="F57" i="3"/>
  <c r="E57" i="3"/>
  <c r="D57" i="3"/>
  <c r="C57" i="3"/>
  <c r="G57" i="3" s="1"/>
  <c r="H56" i="3"/>
  <c r="I56" i="3" s="1"/>
  <c r="F56" i="3"/>
  <c r="E56" i="3"/>
  <c r="D56" i="3"/>
  <c r="C56" i="3"/>
  <c r="G56" i="3" s="1"/>
  <c r="H55" i="3"/>
  <c r="I55" i="3" s="1"/>
  <c r="F55" i="3"/>
  <c r="E55" i="3"/>
  <c r="D55" i="3"/>
  <c r="C55" i="3"/>
  <c r="G55" i="3" s="1"/>
  <c r="H54" i="3"/>
  <c r="I54" i="3" s="1"/>
  <c r="F54" i="3"/>
  <c r="E54" i="3"/>
  <c r="D54" i="3"/>
  <c r="C54" i="3"/>
  <c r="G54" i="3" s="1"/>
  <c r="H53" i="3"/>
  <c r="I53" i="3" s="1"/>
  <c r="F53" i="3"/>
  <c r="E53" i="3"/>
  <c r="D53" i="3"/>
  <c r="C53" i="3"/>
  <c r="G53" i="3" s="1"/>
  <c r="H52" i="3"/>
  <c r="I52" i="3" s="1"/>
  <c r="F52" i="3"/>
  <c r="E52" i="3"/>
  <c r="D52" i="3"/>
  <c r="C52" i="3"/>
  <c r="G52" i="3" s="1"/>
  <c r="H51" i="3"/>
  <c r="I51" i="3" s="1"/>
  <c r="F51" i="3"/>
  <c r="E51" i="3"/>
  <c r="D51" i="3"/>
  <c r="C51" i="3"/>
  <c r="G51" i="3" s="1"/>
  <c r="H50" i="3"/>
  <c r="I50" i="3" s="1"/>
  <c r="F50" i="3"/>
  <c r="E50" i="3"/>
  <c r="D50" i="3"/>
  <c r="C50" i="3"/>
  <c r="G50" i="3" s="1"/>
  <c r="H49" i="3"/>
  <c r="I49" i="3" s="1"/>
  <c r="F49" i="3"/>
  <c r="E49" i="3"/>
  <c r="D49" i="3"/>
  <c r="C49" i="3"/>
  <c r="G49" i="3" s="1"/>
  <c r="H48" i="3"/>
  <c r="I48" i="3" s="1"/>
  <c r="F48" i="3"/>
  <c r="E48" i="3"/>
  <c r="D48" i="3"/>
  <c r="C48" i="3"/>
  <c r="G48" i="3" s="1"/>
  <c r="H47" i="3"/>
  <c r="I47" i="3" s="1"/>
  <c r="F47" i="3"/>
  <c r="E47" i="3"/>
  <c r="D47" i="3"/>
  <c r="C47" i="3"/>
  <c r="G47" i="3" s="1"/>
  <c r="H46" i="3"/>
  <c r="I46" i="3" s="1"/>
  <c r="F46" i="3"/>
  <c r="E46" i="3"/>
  <c r="D46" i="3"/>
  <c r="C46" i="3"/>
  <c r="G46" i="3" s="1"/>
  <c r="H45" i="3"/>
  <c r="I45" i="3" s="1"/>
  <c r="F45" i="3"/>
  <c r="E45" i="3"/>
  <c r="D45" i="3"/>
  <c r="C45" i="3"/>
  <c r="G45" i="3" s="1"/>
  <c r="H44" i="3"/>
  <c r="I44" i="3" s="1"/>
  <c r="F44" i="3"/>
  <c r="E44" i="3"/>
  <c r="D44" i="3"/>
  <c r="C44" i="3"/>
  <c r="G44" i="3" s="1"/>
  <c r="H43" i="3"/>
  <c r="I43" i="3" s="1"/>
  <c r="F43" i="3"/>
  <c r="E43" i="3"/>
  <c r="D43" i="3"/>
  <c r="C43" i="3"/>
  <c r="G43" i="3" s="1"/>
  <c r="H42" i="3"/>
  <c r="I42" i="3" s="1"/>
  <c r="F42" i="3"/>
  <c r="E42" i="3"/>
  <c r="D42" i="3"/>
  <c r="C42" i="3"/>
  <c r="G42" i="3" s="1"/>
  <c r="H41" i="3"/>
  <c r="I41" i="3" s="1"/>
  <c r="F41" i="3"/>
  <c r="E41" i="3"/>
  <c r="D41" i="3"/>
  <c r="C41" i="3"/>
  <c r="G41" i="3" s="1"/>
  <c r="H40" i="3"/>
  <c r="I40" i="3" s="1"/>
  <c r="F40" i="3"/>
  <c r="E40" i="3"/>
  <c r="D40" i="3"/>
  <c r="C40" i="3"/>
  <c r="G40" i="3" s="1"/>
  <c r="H39" i="3"/>
  <c r="I39" i="3" s="1"/>
  <c r="F39" i="3"/>
  <c r="E39" i="3"/>
  <c r="D39" i="3"/>
  <c r="C39" i="3"/>
  <c r="G39" i="3" s="1"/>
  <c r="H38" i="3"/>
  <c r="I38" i="3" s="1"/>
  <c r="G38" i="3"/>
  <c r="F38" i="3"/>
  <c r="E38" i="3"/>
  <c r="D38" i="3"/>
  <c r="C38" i="3"/>
  <c r="H37" i="3"/>
  <c r="I37" i="3" s="1"/>
  <c r="F37" i="3"/>
  <c r="E37" i="3"/>
  <c r="D37" i="3"/>
  <c r="C37" i="3"/>
  <c r="G37" i="3" s="1"/>
  <c r="H36" i="3"/>
  <c r="I36" i="3" s="1"/>
  <c r="F36" i="3"/>
  <c r="E36" i="3"/>
  <c r="D36" i="3"/>
  <c r="C36" i="3"/>
  <c r="G36" i="3" s="1"/>
  <c r="H35" i="3"/>
  <c r="I35" i="3" s="1"/>
  <c r="F35" i="3"/>
  <c r="E35" i="3"/>
  <c r="D35" i="3"/>
  <c r="C35" i="3"/>
  <c r="G35" i="3" s="1"/>
  <c r="H34" i="3"/>
  <c r="I34" i="3" s="1"/>
  <c r="F34" i="3"/>
  <c r="E34" i="3"/>
  <c r="D34" i="3"/>
  <c r="C34" i="3"/>
  <c r="G34" i="3" s="1"/>
  <c r="H33" i="3"/>
  <c r="I33" i="3" s="1"/>
  <c r="F33" i="3"/>
  <c r="E33" i="3"/>
  <c r="D33" i="3"/>
  <c r="C33" i="3"/>
  <c r="G33" i="3" s="1"/>
  <c r="H32" i="3"/>
  <c r="I32" i="3" s="1"/>
  <c r="F32" i="3"/>
  <c r="E32" i="3"/>
  <c r="D32" i="3"/>
  <c r="C32" i="3"/>
  <c r="G32" i="3" s="1"/>
  <c r="H31" i="3"/>
  <c r="I31" i="3" s="1"/>
  <c r="F31" i="3"/>
  <c r="E31" i="3"/>
  <c r="D31" i="3"/>
  <c r="C31" i="3"/>
  <c r="G31" i="3" s="1"/>
  <c r="H30" i="3"/>
  <c r="I30" i="3" s="1"/>
  <c r="F30" i="3"/>
  <c r="E30" i="3"/>
  <c r="D30" i="3"/>
  <c r="C30" i="3"/>
  <c r="G30" i="3" s="1"/>
  <c r="H29" i="3"/>
  <c r="I29" i="3" s="1"/>
  <c r="F29" i="3"/>
  <c r="E29" i="3"/>
  <c r="D29" i="3"/>
  <c r="C29" i="3"/>
  <c r="G29" i="3" s="1"/>
  <c r="H28" i="3"/>
  <c r="I28" i="3" s="1"/>
  <c r="F28" i="3"/>
  <c r="E28" i="3"/>
  <c r="D28" i="3"/>
  <c r="C28" i="3"/>
  <c r="G28" i="3" s="1"/>
  <c r="H27" i="3"/>
  <c r="I27" i="3" s="1"/>
  <c r="F27" i="3"/>
  <c r="E27" i="3"/>
  <c r="D27" i="3"/>
  <c r="C27" i="3"/>
  <c r="G27" i="3" s="1"/>
  <c r="H26" i="3"/>
  <c r="I26" i="3" s="1"/>
  <c r="F26" i="3"/>
  <c r="E26" i="3"/>
  <c r="D26" i="3"/>
  <c r="C26" i="3"/>
  <c r="G26" i="3" s="1"/>
  <c r="H25" i="3"/>
  <c r="I25" i="3" s="1"/>
  <c r="F25" i="3"/>
  <c r="E25" i="3"/>
  <c r="D25" i="3"/>
  <c r="C25" i="3"/>
  <c r="G25" i="3" s="1"/>
  <c r="H24" i="3"/>
  <c r="I24" i="3" s="1"/>
  <c r="F24" i="3"/>
  <c r="E24" i="3"/>
  <c r="D24" i="3"/>
  <c r="C24" i="3"/>
  <c r="G24" i="3" s="1"/>
  <c r="H23" i="3"/>
  <c r="I23" i="3" s="1"/>
  <c r="F23" i="3"/>
  <c r="E23" i="3"/>
  <c r="D23" i="3"/>
  <c r="C23" i="3"/>
  <c r="G23" i="3" s="1"/>
  <c r="H22" i="3"/>
  <c r="I22" i="3" s="1"/>
  <c r="F22" i="3"/>
  <c r="E22" i="3"/>
  <c r="D22" i="3"/>
  <c r="C22" i="3"/>
  <c r="G22" i="3" s="1"/>
  <c r="H21" i="3"/>
  <c r="I21" i="3" s="1"/>
  <c r="F21" i="3"/>
  <c r="E21" i="3"/>
  <c r="D21" i="3"/>
  <c r="C21" i="3"/>
  <c r="G21" i="3" s="1"/>
  <c r="H20" i="3"/>
  <c r="I20" i="3" s="1"/>
  <c r="F20" i="3"/>
  <c r="E20" i="3"/>
  <c r="D20" i="3"/>
  <c r="C20" i="3"/>
  <c r="G20" i="3" s="1"/>
  <c r="H19" i="3"/>
  <c r="I19" i="3" s="1"/>
  <c r="F19" i="3"/>
  <c r="E19" i="3"/>
  <c r="D19" i="3"/>
  <c r="C19" i="3"/>
  <c r="G19" i="3" s="1"/>
  <c r="H18" i="3"/>
  <c r="I18" i="3" s="1"/>
  <c r="F18" i="3"/>
  <c r="E18" i="3"/>
  <c r="D18" i="3"/>
  <c r="C18" i="3"/>
  <c r="G18" i="3" s="1"/>
  <c r="H17" i="3"/>
  <c r="I17" i="3" s="1"/>
  <c r="F17" i="3"/>
  <c r="E17" i="3"/>
  <c r="D17" i="3"/>
  <c r="C17" i="3"/>
  <c r="G17" i="3" s="1"/>
  <c r="H16" i="3"/>
  <c r="I16" i="3" s="1"/>
  <c r="F16" i="3"/>
  <c r="E16" i="3"/>
  <c r="D16" i="3"/>
  <c r="C16" i="3"/>
  <c r="G16" i="3" s="1"/>
  <c r="H15" i="3"/>
  <c r="I15" i="3" s="1"/>
  <c r="F15" i="3"/>
  <c r="E15" i="3"/>
  <c r="D15" i="3"/>
  <c r="C15" i="3"/>
  <c r="G15" i="3" s="1"/>
  <c r="H14" i="3"/>
  <c r="I14" i="3" s="1"/>
  <c r="F14" i="3"/>
  <c r="E14" i="3"/>
  <c r="D14" i="3"/>
  <c r="C14" i="3"/>
  <c r="G14" i="3" s="1"/>
  <c r="H13" i="3"/>
  <c r="I13" i="3" s="1"/>
  <c r="F13" i="3"/>
  <c r="E13" i="3"/>
  <c r="D13" i="3"/>
  <c r="C13" i="3"/>
  <c r="G13" i="3" s="1"/>
  <c r="H12" i="3"/>
  <c r="I12" i="3" s="1"/>
  <c r="F12" i="3"/>
  <c r="E12" i="3"/>
  <c r="D12" i="3"/>
  <c r="C12" i="3"/>
  <c r="G12" i="3" s="1"/>
  <c r="H11" i="3"/>
  <c r="I11" i="3" s="1"/>
  <c r="F11" i="3"/>
  <c r="E11" i="3"/>
  <c r="D11" i="3"/>
  <c r="C11" i="3"/>
  <c r="G11" i="3" s="1"/>
  <c r="H10" i="3"/>
  <c r="I10" i="3" s="1"/>
  <c r="F10" i="3"/>
  <c r="E10" i="3"/>
  <c r="D10" i="3"/>
  <c r="C10" i="3"/>
  <c r="G10" i="3" s="1"/>
  <c r="L9" i="3"/>
  <c r="N13" i="3" s="1"/>
  <c r="F9" i="3"/>
  <c r="E9" i="3"/>
  <c r="D9" i="3"/>
  <c r="C9" i="3"/>
  <c r="G9" i="3" s="1"/>
  <c r="F8" i="3"/>
  <c r="E8" i="3"/>
  <c r="D8" i="3"/>
  <c r="C8" i="3"/>
  <c r="G8" i="3" s="1"/>
  <c r="F7" i="3"/>
  <c r="E7" i="3"/>
  <c r="D7" i="3"/>
  <c r="C7" i="3"/>
  <c r="G7" i="3" s="1"/>
  <c r="F6" i="3"/>
  <c r="E6" i="3"/>
  <c r="D6" i="3"/>
  <c r="C6" i="3"/>
  <c r="G6" i="3" s="1"/>
  <c r="L5" i="3"/>
  <c r="F5" i="3"/>
  <c r="L10" i="3" s="1"/>
  <c r="N14" i="3" s="1"/>
  <c r="E5" i="3"/>
  <c r="L8" i="3" s="1"/>
  <c r="K15" i="3" s="1"/>
  <c r="D5" i="3"/>
  <c r="L7" i="3" s="1"/>
  <c r="C5" i="3"/>
  <c r="L4" i="3"/>
  <c r="E104" i="2"/>
  <c r="F104" i="2" s="1"/>
  <c r="D104" i="2"/>
  <c r="C104" i="2"/>
  <c r="E103" i="2"/>
  <c r="F103" i="2" s="1"/>
  <c r="D103" i="2"/>
  <c r="C103" i="2"/>
  <c r="E102" i="2"/>
  <c r="F102" i="2" s="1"/>
  <c r="D102" i="2"/>
  <c r="C102" i="2"/>
  <c r="E101" i="2"/>
  <c r="F101" i="2" s="1"/>
  <c r="D101" i="2"/>
  <c r="C101" i="2"/>
  <c r="E100" i="2"/>
  <c r="F100" i="2" s="1"/>
  <c r="D100" i="2"/>
  <c r="C100" i="2"/>
  <c r="E99" i="2"/>
  <c r="F99" i="2" s="1"/>
  <c r="D99" i="2"/>
  <c r="C99" i="2"/>
  <c r="E98" i="2"/>
  <c r="F98" i="2" s="1"/>
  <c r="D98" i="2"/>
  <c r="C98" i="2"/>
  <c r="E97" i="2"/>
  <c r="F97" i="2" s="1"/>
  <c r="D97" i="2"/>
  <c r="C97" i="2"/>
  <c r="E96" i="2"/>
  <c r="F96" i="2" s="1"/>
  <c r="D96" i="2"/>
  <c r="C96" i="2"/>
  <c r="E95" i="2"/>
  <c r="F95" i="2" s="1"/>
  <c r="D95" i="2"/>
  <c r="C95" i="2"/>
  <c r="E94" i="2"/>
  <c r="F94" i="2" s="1"/>
  <c r="D94" i="2"/>
  <c r="C94" i="2"/>
  <c r="E93" i="2"/>
  <c r="F93" i="2" s="1"/>
  <c r="D93" i="2"/>
  <c r="C93" i="2"/>
  <c r="E92" i="2"/>
  <c r="F92" i="2" s="1"/>
  <c r="D92" i="2"/>
  <c r="C92" i="2"/>
  <c r="E91" i="2"/>
  <c r="F91" i="2" s="1"/>
  <c r="D91" i="2"/>
  <c r="C91" i="2"/>
  <c r="E90" i="2"/>
  <c r="F90" i="2" s="1"/>
  <c r="D90" i="2"/>
  <c r="C90" i="2"/>
  <c r="E89" i="2"/>
  <c r="F89" i="2" s="1"/>
  <c r="D89" i="2"/>
  <c r="C89" i="2"/>
  <c r="E88" i="2"/>
  <c r="F88" i="2" s="1"/>
  <c r="D88" i="2"/>
  <c r="C88" i="2"/>
  <c r="E87" i="2"/>
  <c r="F87" i="2" s="1"/>
  <c r="D87" i="2"/>
  <c r="C87" i="2"/>
  <c r="E86" i="2"/>
  <c r="F86" i="2" s="1"/>
  <c r="D86" i="2"/>
  <c r="C86" i="2"/>
  <c r="E85" i="2"/>
  <c r="F85" i="2" s="1"/>
  <c r="D85" i="2"/>
  <c r="C85" i="2"/>
  <c r="E84" i="2"/>
  <c r="F84" i="2" s="1"/>
  <c r="D84" i="2"/>
  <c r="C84" i="2"/>
  <c r="E83" i="2"/>
  <c r="F83" i="2" s="1"/>
  <c r="D83" i="2"/>
  <c r="C83" i="2"/>
  <c r="E82" i="2"/>
  <c r="F82" i="2" s="1"/>
  <c r="D82" i="2"/>
  <c r="C82" i="2"/>
  <c r="E81" i="2"/>
  <c r="F81" i="2" s="1"/>
  <c r="D81" i="2"/>
  <c r="C81" i="2"/>
  <c r="E80" i="2"/>
  <c r="F80" i="2" s="1"/>
  <c r="D80" i="2"/>
  <c r="C80" i="2"/>
  <c r="E79" i="2"/>
  <c r="F79" i="2" s="1"/>
  <c r="D79" i="2"/>
  <c r="C79" i="2"/>
  <c r="E78" i="2"/>
  <c r="F78" i="2" s="1"/>
  <c r="D78" i="2"/>
  <c r="C78" i="2"/>
  <c r="E77" i="2"/>
  <c r="F77" i="2" s="1"/>
  <c r="D77" i="2"/>
  <c r="C77" i="2"/>
  <c r="E76" i="2"/>
  <c r="F76" i="2" s="1"/>
  <c r="D76" i="2"/>
  <c r="C76" i="2"/>
  <c r="E75" i="2"/>
  <c r="F75" i="2" s="1"/>
  <c r="D75" i="2"/>
  <c r="C75" i="2"/>
  <c r="E74" i="2"/>
  <c r="F74" i="2" s="1"/>
  <c r="D74" i="2"/>
  <c r="C74" i="2"/>
  <c r="E73" i="2"/>
  <c r="F73" i="2" s="1"/>
  <c r="D73" i="2"/>
  <c r="C73" i="2"/>
  <c r="E72" i="2"/>
  <c r="F72" i="2" s="1"/>
  <c r="D72" i="2"/>
  <c r="C72" i="2"/>
  <c r="E71" i="2"/>
  <c r="F71" i="2" s="1"/>
  <c r="D71" i="2"/>
  <c r="C71" i="2"/>
  <c r="E70" i="2"/>
  <c r="F70" i="2" s="1"/>
  <c r="D70" i="2"/>
  <c r="C70" i="2"/>
  <c r="E69" i="2"/>
  <c r="F69" i="2" s="1"/>
  <c r="D69" i="2"/>
  <c r="C69" i="2"/>
  <c r="E68" i="2"/>
  <c r="F68" i="2" s="1"/>
  <c r="D68" i="2"/>
  <c r="C68" i="2"/>
  <c r="E67" i="2"/>
  <c r="F67" i="2" s="1"/>
  <c r="D67" i="2"/>
  <c r="C67" i="2"/>
  <c r="E66" i="2"/>
  <c r="F66" i="2" s="1"/>
  <c r="D66" i="2"/>
  <c r="C66" i="2"/>
  <c r="E65" i="2"/>
  <c r="F65" i="2" s="1"/>
  <c r="D65" i="2"/>
  <c r="C65" i="2"/>
  <c r="E64" i="2"/>
  <c r="F64" i="2" s="1"/>
  <c r="D64" i="2"/>
  <c r="C64" i="2"/>
  <c r="E63" i="2"/>
  <c r="F63" i="2" s="1"/>
  <c r="D63" i="2"/>
  <c r="C63" i="2"/>
  <c r="E62" i="2"/>
  <c r="F62" i="2" s="1"/>
  <c r="D62" i="2"/>
  <c r="C62" i="2"/>
  <c r="E61" i="2"/>
  <c r="F61" i="2" s="1"/>
  <c r="D61" i="2"/>
  <c r="C61" i="2"/>
  <c r="E60" i="2"/>
  <c r="F60" i="2" s="1"/>
  <c r="D60" i="2"/>
  <c r="C60" i="2"/>
  <c r="E59" i="2"/>
  <c r="F59" i="2" s="1"/>
  <c r="D59" i="2"/>
  <c r="C59" i="2"/>
  <c r="E58" i="2"/>
  <c r="F58" i="2" s="1"/>
  <c r="D58" i="2"/>
  <c r="C58" i="2"/>
  <c r="E57" i="2"/>
  <c r="F57" i="2" s="1"/>
  <c r="D57" i="2"/>
  <c r="C57" i="2"/>
  <c r="E56" i="2"/>
  <c r="F56" i="2" s="1"/>
  <c r="D56" i="2"/>
  <c r="C56" i="2"/>
  <c r="E55" i="2"/>
  <c r="F55" i="2" s="1"/>
  <c r="D55" i="2"/>
  <c r="C55" i="2"/>
  <c r="E54" i="2"/>
  <c r="F54" i="2" s="1"/>
  <c r="D54" i="2"/>
  <c r="C54" i="2"/>
  <c r="E53" i="2"/>
  <c r="F53" i="2" s="1"/>
  <c r="D53" i="2"/>
  <c r="C53" i="2"/>
  <c r="E52" i="2"/>
  <c r="F52" i="2" s="1"/>
  <c r="D52" i="2"/>
  <c r="C52" i="2"/>
  <c r="E51" i="2"/>
  <c r="F51" i="2" s="1"/>
  <c r="D51" i="2"/>
  <c r="C51" i="2"/>
  <c r="E50" i="2"/>
  <c r="F50" i="2" s="1"/>
  <c r="D50" i="2"/>
  <c r="C50" i="2"/>
  <c r="E49" i="2"/>
  <c r="F49" i="2" s="1"/>
  <c r="D49" i="2"/>
  <c r="C49" i="2"/>
  <c r="E48" i="2"/>
  <c r="F48" i="2" s="1"/>
  <c r="D48" i="2"/>
  <c r="C48" i="2"/>
  <c r="E47" i="2"/>
  <c r="F47" i="2" s="1"/>
  <c r="D47" i="2"/>
  <c r="C47" i="2"/>
  <c r="E46" i="2"/>
  <c r="F46" i="2" s="1"/>
  <c r="D46" i="2"/>
  <c r="C46" i="2"/>
  <c r="E45" i="2"/>
  <c r="F45" i="2" s="1"/>
  <c r="D45" i="2"/>
  <c r="C45" i="2"/>
  <c r="E44" i="2"/>
  <c r="F44" i="2" s="1"/>
  <c r="D44" i="2"/>
  <c r="C44" i="2"/>
  <c r="E43" i="2"/>
  <c r="F43" i="2" s="1"/>
  <c r="D43" i="2"/>
  <c r="C43" i="2"/>
  <c r="E42" i="2"/>
  <c r="F42" i="2" s="1"/>
  <c r="D42" i="2"/>
  <c r="C42" i="2"/>
  <c r="E41" i="2"/>
  <c r="F41" i="2" s="1"/>
  <c r="D41" i="2"/>
  <c r="C41" i="2"/>
  <c r="E40" i="2"/>
  <c r="F40" i="2" s="1"/>
  <c r="D40" i="2"/>
  <c r="C40" i="2"/>
  <c r="E39" i="2"/>
  <c r="F39" i="2" s="1"/>
  <c r="D39" i="2"/>
  <c r="C39" i="2"/>
  <c r="E38" i="2"/>
  <c r="F38" i="2" s="1"/>
  <c r="D38" i="2"/>
  <c r="C38" i="2"/>
  <c r="E37" i="2"/>
  <c r="F37" i="2" s="1"/>
  <c r="D37" i="2"/>
  <c r="C37" i="2"/>
  <c r="E36" i="2"/>
  <c r="F36" i="2" s="1"/>
  <c r="D36" i="2"/>
  <c r="C36" i="2"/>
  <c r="E35" i="2"/>
  <c r="F35" i="2" s="1"/>
  <c r="D35" i="2"/>
  <c r="C35" i="2"/>
  <c r="E34" i="2"/>
  <c r="F34" i="2" s="1"/>
  <c r="D34" i="2"/>
  <c r="C34" i="2"/>
  <c r="E33" i="2"/>
  <c r="F33" i="2" s="1"/>
  <c r="D33" i="2"/>
  <c r="C33" i="2"/>
  <c r="E32" i="2"/>
  <c r="F32" i="2" s="1"/>
  <c r="D32" i="2"/>
  <c r="C32" i="2"/>
  <c r="E31" i="2"/>
  <c r="F31" i="2" s="1"/>
  <c r="D31" i="2"/>
  <c r="C31" i="2"/>
  <c r="E30" i="2"/>
  <c r="F30" i="2" s="1"/>
  <c r="D30" i="2"/>
  <c r="C30" i="2"/>
  <c r="E29" i="2"/>
  <c r="F29" i="2" s="1"/>
  <c r="D29" i="2"/>
  <c r="C29" i="2"/>
  <c r="E28" i="2"/>
  <c r="F28" i="2" s="1"/>
  <c r="D28" i="2"/>
  <c r="C28" i="2"/>
  <c r="E27" i="2"/>
  <c r="F27" i="2" s="1"/>
  <c r="D27" i="2"/>
  <c r="C27" i="2"/>
  <c r="E26" i="2"/>
  <c r="F26" i="2" s="1"/>
  <c r="D26" i="2"/>
  <c r="C26" i="2"/>
  <c r="E25" i="2"/>
  <c r="F25" i="2" s="1"/>
  <c r="D25" i="2"/>
  <c r="C25" i="2"/>
  <c r="E24" i="2"/>
  <c r="F24" i="2" s="1"/>
  <c r="D24" i="2"/>
  <c r="C24" i="2"/>
  <c r="E23" i="2"/>
  <c r="F23" i="2" s="1"/>
  <c r="D23" i="2"/>
  <c r="C23" i="2"/>
  <c r="E22" i="2"/>
  <c r="F22" i="2" s="1"/>
  <c r="D22" i="2"/>
  <c r="C22" i="2"/>
  <c r="E21" i="2"/>
  <c r="F21" i="2" s="1"/>
  <c r="D21" i="2"/>
  <c r="C21" i="2"/>
  <c r="E20" i="2"/>
  <c r="F20" i="2" s="1"/>
  <c r="D20" i="2"/>
  <c r="C20" i="2"/>
  <c r="E19" i="2"/>
  <c r="F19" i="2" s="1"/>
  <c r="D19" i="2"/>
  <c r="C19" i="2"/>
  <c r="E18" i="2"/>
  <c r="F18" i="2" s="1"/>
  <c r="D18" i="2"/>
  <c r="C18" i="2"/>
  <c r="E17" i="2"/>
  <c r="F17" i="2" s="1"/>
  <c r="D17" i="2"/>
  <c r="C17" i="2"/>
  <c r="E16" i="2"/>
  <c r="F16" i="2" s="1"/>
  <c r="D16" i="2"/>
  <c r="C16" i="2"/>
  <c r="E15" i="2"/>
  <c r="F15" i="2" s="1"/>
  <c r="D15" i="2"/>
  <c r="C15" i="2"/>
  <c r="E14" i="2"/>
  <c r="F14" i="2" s="1"/>
  <c r="D14" i="2"/>
  <c r="C14" i="2"/>
  <c r="E13" i="2"/>
  <c r="F13" i="2" s="1"/>
  <c r="D13" i="2"/>
  <c r="C13" i="2"/>
  <c r="D12" i="2"/>
  <c r="C12" i="2"/>
  <c r="E11" i="2"/>
  <c r="F11" i="2" s="1"/>
  <c r="D11" i="2"/>
  <c r="C11" i="2"/>
  <c r="D10" i="2"/>
  <c r="C10" i="2"/>
  <c r="D9" i="2"/>
  <c r="C9" i="2"/>
  <c r="D8" i="2"/>
  <c r="C8" i="2"/>
  <c r="D7" i="2"/>
  <c r="C7" i="2"/>
  <c r="I6" i="2"/>
  <c r="D6" i="2"/>
  <c r="C6" i="2"/>
  <c r="I5" i="2"/>
  <c r="D5" i="2"/>
  <c r="C5" i="2"/>
  <c r="I7" i="2" s="1"/>
  <c r="I4" i="2"/>
  <c r="E2" i="6" l="1"/>
  <c r="I3" i="6" s="1"/>
  <c r="I1" i="6"/>
  <c r="F2" i="6"/>
  <c r="I4" i="6" s="1"/>
  <c r="I9" i="6" s="1"/>
  <c r="I10" i="6" s="1"/>
  <c r="I12" i="6" s="1"/>
  <c r="D31" i="5"/>
  <c r="I4" i="5"/>
  <c r="I7" i="5"/>
  <c r="I6" i="5"/>
  <c r="D104" i="4"/>
  <c r="E104" i="4"/>
  <c r="D103" i="4"/>
  <c r="E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D95" i="4"/>
  <c r="E95" i="4"/>
  <c r="D94" i="4"/>
  <c r="E94" i="4"/>
  <c r="E93" i="4"/>
  <c r="D93" i="4"/>
  <c r="E92" i="4"/>
  <c r="D92" i="4"/>
  <c r="E91" i="4"/>
  <c r="D91" i="4"/>
  <c r="D90" i="4"/>
  <c r="E90" i="4"/>
  <c r="D88" i="4"/>
  <c r="E88" i="4"/>
  <c r="D87" i="4"/>
  <c r="E87" i="4"/>
  <c r="E86" i="4"/>
  <c r="D86" i="4"/>
  <c r="E85" i="4"/>
  <c r="D85" i="4"/>
  <c r="E84" i="4"/>
  <c r="D84" i="4"/>
  <c r="D83" i="4"/>
  <c r="E83" i="4"/>
  <c r="D82" i="4"/>
  <c r="E82" i="4"/>
  <c r="E81" i="4"/>
  <c r="D81" i="4"/>
  <c r="D80" i="4"/>
  <c r="E80" i="4"/>
  <c r="D79" i="4"/>
  <c r="E79" i="4"/>
  <c r="D78" i="4"/>
  <c r="E78" i="4"/>
  <c r="D77" i="4"/>
  <c r="E77" i="4"/>
  <c r="D76" i="4"/>
  <c r="E76" i="4"/>
  <c r="E75" i="4"/>
  <c r="D75" i="4"/>
  <c r="E74" i="4"/>
  <c r="D74" i="4"/>
  <c r="E73" i="4"/>
  <c r="D73" i="4"/>
  <c r="E72" i="4"/>
  <c r="D72" i="4"/>
  <c r="E71" i="4"/>
  <c r="D71" i="4"/>
  <c r="E70" i="4"/>
  <c r="D70" i="4"/>
  <c r="D69" i="4"/>
  <c r="E69" i="4"/>
  <c r="E68" i="4"/>
  <c r="D68" i="4"/>
  <c r="E67" i="4"/>
  <c r="D67" i="4"/>
  <c r="E66" i="4"/>
  <c r="D66" i="4"/>
  <c r="D65" i="4"/>
  <c r="E65" i="4"/>
  <c r="E64" i="4"/>
  <c r="D64" i="4"/>
  <c r="E63" i="4"/>
  <c r="D63" i="4"/>
  <c r="D62" i="4"/>
  <c r="E62" i="4"/>
  <c r="E61" i="4"/>
  <c r="D61" i="4"/>
  <c r="E60" i="4"/>
  <c r="D60" i="4"/>
  <c r="D59" i="4"/>
  <c r="I4" i="4"/>
  <c r="E59" i="4"/>
  <c r="E57" i="4"/>
  <c r="D57" i="4"/>
  <c r="E56" i="4"/>
  <c r="D56" i="4"/>
  <c r="D55" i="4"/>
  <c r="E55" i="4"/>
  <c r="D54" i="4"/>
  <c r="E54" i="4"/>
  <c r="E53" i="4"/>
  <c r="D53" i="4"/>
  <c r="E52" i="4"/>
  <c r="D52" i="4"/>
  <c r="D51" i="4"/>
  <c r="E51" i="4"/>
  <c r="E50" i="4"/>
  <c r="D50" i="4"/>
  <c r="D49" i="4"/>
  <c r="E49" i="4"/>
  <c r="E48" i="4"/>
  <c r="D48" i="4"/>
  <c r="D47" i="4"/>
  <c r="E47" i="4"/>
  <c r="D46" i="4"/>
  <c r="E46" i="4"/>
  <c r="D45" i="4"/>
  <c r="E45" i="4"/>
  <c r="E44" i="4"/>
  <c r="D44" i="4"/>
  <c r="E43" i="4"/>
  <c r="D43" i="4"/>
  <c r="E42" i="4"/>
  <c r="D42" i="4"/>
  <c r="D41" i="4"/>
  <c r="E41" i="4"/>
  <c r="D40" i="4"/>
  <c r="E40" i="4"/>
  <c r="E39" i="4"/>
  <c r="D39" i="4"/>
  <c r="D38" i="4"/>
  <c r="E38" i="4"/>
  <c r="D37" i="4"/>
  <c r="E37" i="4"/>
  <c r="E36" i="4"/>
  <c r="D36" i="4"/>
  <c r="E35" i="4"/>
  <c r="D35" i="4"/>
  <c r="D34" i="4"/>
  <c r="E34" i="4"/>
  <c r="E33" i="4"/>
  <c r="D33" i="4"/>
  <c r="E32" i="4"/>
  <c r="D32" i="4"/>
  <c r="E31" i="4"/>
  <c r="D31" i="4"/>
  <c r="D30" i="4"/>
  <c r="E30" i="4"/>
  <c r="E29" i="4"/>
  <c r="D29" i="4"/>
  <c r="E28" i="4"/>
  <c r="D28" i="4"/>
  <c r="D27" i="4"/>
  <c r="E27" i="4"/>
  <c r="E26" i="4"/>
  <c r="D26" i="4"/>
  <c r="D25" i="4"/>
  <c r="E25" i="4"/>
  <c r="D24" i="4"/>
  <c r="E24" i="4"/>
  <c r="E23" i="4"/>
  <c r="D23" i="4"/>
  <c r="D22" i="4"/>
  <c r="E22" i="4"/>
  <c r="D21" i="4"/>
  <c r="E21" i="4"/>
  <c r="E20" i="4"/>
  <c r="D20" i="4"/>
  <c r="E19" i="4"/>
  <c r="D19" i="4"/>
  <c r="E18" i="4"/>
  <c r="D18" i="4"/>
  <c r="E17" i="4"/>
  <c r="D17" i="4"/>
  <c r="E16" i="4"/>
  <c r="D16" i="4"/>
  <c r="E15" i="4"/>
  <c r="D15" i="4"/>
  <c r="D14" i="4"/>
  <c r="E14" i="4"/>
  <c r="E13" i="4"/>
  <c r="D13" i="4"/>
  <c r="E12" i="4"/>
  <c r="D12" i="4"/>
  <c r="E11" i="4"/>
  <c r="D11" i="4"/>
  <c r="D10" i="4"/>
  <c r="E10" i="4"/>
  <c r="D9" i="4"/>
  <c r="E9" i="4"/>
  <c r="D8" i="4"/>
  <c r="E8" i="4"/>
  <c r="E7" i="4"/>
  <c r="D7" i="4"/>
  <c r="E6" i="4"/>
  <c r="D6" i="4"/>
  <c r="I5" i="4"/>
  <c r="E5" i="4"/>
  <c r="D5" i="4"/>
  <c r="L13" i="3"/>
  <c r="M14" i="3"/>
  <c r="K14" i="3"/>
  <c r="L15" i="3"/>
  <c r="L6" i="3"/>
  <c r="G5" i="3"/>
  <c r="L11" i="3" s="1"/>
  <c r="N15" i="3" s="1"/>
  <c r="M13" i="3"/>
  <c r="I10" i="5" l="1"/>
  <c r="I11" i="5" s="1"/>
  <c r="I12" i="5" s="1"/>
  <c r="K13" i="3"/>
  <c r="L14" i="3"/>
  <c r="M15" i="3"/>
  <c r="I8" i="4"/>
  <c r="I7" i="4"/>
  <c r="E12" i="2" l="1"/>
  <c r="F12" i="2" s="1"/>
  <c r="I10" i="4"/>
  <c r="F7" i="5"/>
  <c r="G7" i="5" s="1"/>
  <c r="F8" i="5"/>
  <c r="G8" i="5" s="1"/>
  <c r="F5" i="5"/>
  <c r="G5" i="5" s="1"/>
  <c r="F6" i="5"/>
  <c r="G6" i="5" s="1"/>
  <c r="P13" i="3"/>
  <c r="P14" i="3"/>
  <c r="P15" i="3"/>
  <c r="E10" i="2"/>
  <c r="F10" i="2" s="1"/>
  <c r="I17" i="5"/>
  <c r="H8" i="3" l="1"/>
  <c r="I8" i="3" s="1"/>
  <c r="H9" i="3"/>
  <c r="I9" i="3" s="1"/>
  <c r="I11" i="4"/>
  <c r="I14" i="5"/>
  <c r="I15" i="5" s="1"/>
  <c r="M20" i="3"/>
  <c r="H6" i="3"/>
  <c r="I6" i="3" s="1"/>
  <c r="H5" i="3"/>
  <c r="I5" i="3" s="1"/>
  <c r="H7" i="3"/>
  <c r="I7" i="3" s="1"/>
  <c r="F16" i="4" l="1"/>
  <c r="G16" i="4" s="1"/>
  <c r="F18" i="4"/>
  <c r="G18" i="4" s="1"/>
  <c r="F14" i="4"/>
  <c r="G14" i="4" s="1"/>
  <c r="F17" i="4"/>
  <c r="G17" i="4" s="1"/>
  <c r="F12" i="4"/>
  <c r="G12" i="4" s="1"/>
  <c r="F15" i="4"/>
  <c r="G15" i="4" s="1"/>
  <c r="I16" i="4"/>
  <c r="F13" i="4"/>
  <c r="G13" i="4" s="1"/>
  <c r="F7" i="4"/>
  <c r="G7" i="4" s="1"/>
  <c r="F6" i="4"/>
  <c r="G6" i="4" s="1"/>
  <c r="F9" i="4"/>
  <c r="G9" i="4" s="1"/>
  <c r="F5" i="4"/>
  <c r="G5" i="4" s="1"/>
  <c r="F10" i="4"/>
  <c r="G10" i="4" s="1"/>
  <c r="F11" i="4"/>
  <c r="G11" i="4" s="1"/>
  <c r="F8" i="4"/>
  <c r="G8" i="4" s="1"/>
  <c r="L17" i="3"/>
  <c r="L18" i="3" s="1"/>
  <c r="I13" i="4" l="1"/>
  <c r="I14" i="4" s="1"/>
  <c r="I10" i="2"/>
  <c r="E8" i="2" l="1"/>
  <c r="F8" i="2" s="1"/>
  <c r="E9" i="2"/>
  <c r="F9" i="2" s="1"/>
  <c r="E5" i="2"/>
  <c r="F5" i="2" s="1"/>
  <c r="E6" i="2" l="1"/>
  <c r="F6" i="2" s="1"/>
  <c r="I13" i="2" s="1"/>
  <c r="I14" i="2" s="1"/>
  <c r="E7" i="2"/>
  <c r="F7" i="2" s="1"/>
</calcChain>
</file>

<file path=xl/sharedStrings.xml><?xml version="1.0" encoding="utf-8"?>
<sst xmlns="http://schemas.openxmlformats.org/spreadsheetml/2006/main" count="137" uniqueCount="95">
  <si>
    <t>Plantilla de modelos de ajuste</t>
  </si>
  <si>
    <t>Basada en el archivo MODELOS DE AJUSTE_V3.docx cargado en esta conversación.</t>
  </si>
  <si>
    <t>Uso</t>
  </si>
  <si>
    <t>Escribe tus datos solo en celdas azules (x, y). Las columnas grises calculan automáticamente.</t>
  </si>
  <si>
    <t>Modelos incluidos</t>
  </si>
  <si>
    <t>Lineal, Cuadrático, Logarítmico y Exponencial.</t>
  </si>
  <si>
    <t>Restricciones</t>
  </si>
  <si>
    <t>Logarítmico requiere x &gt; 0. Exponencial requiere y &gt; 0.</t>
  </si>
  <si>
    <t>Capacidad</t>
  </si>
  <si>
    <t>Cada hoja deja 100 filas de datos, de la fila 5 a la 104.</t>
  </si>
  <si>
    <t>Indicadores</t>
  </si>
  <si>
    <t>SSE y R² ayudan, pero no reemplazan el análisis del fenómeno.</t>
  </si>
  <si>
    <t>Cuidado</t>
  </si>
  <si>
    <t>Un ajuste bueno dentro del rango medido puede fallar al extrapolar.</t>
  </si>
  <si>
    <t>Primero mira el diagrama de dispersión. Si fuerzas un modelo equivocado, el Excel no te va a salvar.</t>
  </si>
  <si>
    <t>Modelo lineal  y = m x + b</t>
  </si>
  <si>
    <t>Ingresa x e y en azul. El ajuste usa mínimos cuadrados.</t>
  </si>
  <si>
    <t>x</t>
  </si>
  <si>
    <t>y</t>
  </si>
  <si>
    <t>x*y</t>
  </si>
  <si>
    <t>x²</t>
  </si>
  <si>
    <t>y ajustado</t>
  </si>
  <si>
    <t>error</t>
  </si>
  <si>
    <t>n</t>
  </si>
  <si>
    <t>Σx</t>
  </si>
  <si>
    <t>Σy</t>
  </si>
  <si>
    <t>Σxy</t>
  </si>
  <si>
    <t>Σx²</t>
  </si>
  <si>
    <t>m</t>
  </si>
  <si>
    <t>b</t>
  </si>
  <si>
    <t>SSE</t>
  </si>
  <si>
    <t>R²</t>
  </si>
  <si>
    <t>Modelo</t>
  </si>
  <si>
    <t>m es la pendiente y b la intersección. Si todos los x son iguales, el ajuste falla.</t>
  </si>
  <si>
    <t>Modelo cuadrático  y = a x² + b x + c</t>
  </si>
  <si>
    <t>Ingresa x e y en azul. La hoja arma el sistema normal automáticamente.</t>
  </si>
  <si>
    <t>x³</t>
  </si>
  <si>
    <t>x⁴</t>
  </si>
  <si>
    <t>x²*y</t>
  </si>
  <si>
    <t>Σx³</t>
  </si>
  <si>
    <t>Σx⁴</t>
  </si>
  <si>
    <t>Σx²y</t>
  </si>
  <si>
    <t>Matriz A</t>
  </si>
  <si>
    <t>Vector B</t>
  </si>
  <si>
    <t>Coef.</t>
  </si>
  <si>
    <t>a</t>
  </si>
  <si>
    <t>c</t>
  </si>
  <si>
    <t>No te confíes con un buen ajuste cuadrático: puede extrapolar mal fuera del rango medido.</t>
  </si>
  <si>
    <t>Modelo logarítmico  y = a + b ln(x)</t>
  </si>
  <si>
    <t>Ingresa x e y en azul. La hoja transforma X = ln(x) y luego aplica ajuste lineal.</t>
  </si>
  <si>
    <t>ln(x)</t>
  </si>
  <si>
    <t>ln(x)*y</t>
  </si>
  <si>
    <t>[ln(x)]²</t>
  </si>
  <si>
    <t>n válidos</t>
  </si>
  <si>
    <t>Σln(x)</t>
  </si>
  <si>
    <t>Σln(x)*y</t>
  </si>
  <si>
    <t>Σ[ln(x)]²</t>
  </si>
  <si>
    <t>Si x ≤ 0, el logaritmo no existe en reales y la fila queda inválida.</t>
  </si>
  <si>
    <t>Modelo exponencial  y = a e^(b x)</t>
  </si>
  <si>
    <t>Ingresa x e y en azul. La hoja transforma Y = ln(y) y ajusta Y = A + b x.</t>
  </si>
  <si>
    <t>ln(y)</t>
  </si>
  <si>
    <t>x*ln(y)</t>
  </si>
  <si>
    <t>Σln(y)</t>
  </si>
  <si>
    <t>Σx*ln(y)</t>
  </si>
  <si>
    <t>A=ln(a)</t>
  </si>
  <si>
    <t>Si y ≤ 0, ln(y) no existe y esa fila no sirve para este modelo.</t>
  </si>
  <si>
    <t>X</t>
  </si>
  <si>
    <t>ln(x)*ln(y)</t>
  </si>
  <si>
    <t xml:space="preserve"> ln(x)^2</t>
  </si>
  <si>
    <t>SUM_ln_x</t>
  </si>
  <si>
    <t>SUM_ln_y</t>
  </si>
  <si>
    <t>SUM_lnx_lny</t>
  </si>
  <si>
    <t>SUM_ln_x2</t>
  </si>
  <si>
    <t>PENDIENTE</t>
  </si>
  <si>
    <t>Y</t>
  </si>
  <si>
    <t>interseccion a</t>
  </si>
  <si>
    <t>FINAL</t>
  </si>
  <si>
    <t>Caso</t>
  </si>
  <si>
    <t>Qué pasa</t>
  </si>
  <si>
    <t>x = constante</t>
  </si>
  <si>
    <t>❌ no hay modelo</t>
  </si>
  <si>
    <t>x = 0 (log/potencial)</t>
  </si>
  <si>
    <t>❌ LN explota</t>
  </si>
  <si>
    <t>y ≤ 0 (exponencial/potencial)</t>
  </si>
  <si>
    <t>❌ LN(y) no existe</t>
  </si>
  <si>
    <t>pocos datos (2 o 3)</t>
  </si>
  <si>
    <t>⚠️ modelo débil</t>
  </si>
  <si>
    <t>Curva suave (parabólica)</t>
  </si>
  <si>
    <t>Cuadrático</t>
  </si>
  <si>
    <t>Crece rápido y luego se aplana</t>
  </si>
  <si>
    <t>Logarítmico</t>
  </si>
  <si>
    <t>Crece cada vez más rápido</t>
  </si>
  <si>
    <t>Exponencial</t>
  </si>
  <si>
    <t>Curva tipo potencia (no exponencial)</t>
  </si>
  <si>
    <t>Potencial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</si>
</sst>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i/>
      <sz val="11"/>
      <color rgb="FF444444"/>
      <name val="Cambria"/>
      <charset val="1"/>
    </font>
    <font>
      <b/>
      <sz val="11"/>
      <name val="Cambria"/>
      <charset val="1"/>
    </font>
    <font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2CC"/>
        <bgColor rgb="FFF8F9FA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F"/>
      </patternFill>
    </fill>
    <fill>
      <patternFill patternType="solid">
        <fgColor rgb="FFEAF2FF"/>
        <bgColor rgb="FFF8F9FA"/>
      </patternFill>
    </fill>
    <fill>
      <patternFill patternType="solid">
        <fgColor rgb="FFF8F9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0" xfId="0" applyFont="1" applyFill="1" applyAlignment="1">
      <alignment vertical="top" wrapText="1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0" fillId="5" borderId="0" xfId="0" applyFill="1"/>
    <xf numFmtId="0" fontId="6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5" borderId="0" xfId="0" applyNumberFormat="1" applyFill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showGridLines="0" zoomScaleNormal="100" workbookViewId="0">
      <pane ySplit="3" topLeftCell="A28" activePane="bottomLeft" state="frozen"/>
      <selection pane="bottomLeft" activeCell="A39" sqref="A39"/>
    </sheetView>
  </sheetViews>
  <sheetFormatPr defaultColWidth="8.7109375" defaultRowHeight="15" customHeight="1" x14ac:dyDescent="0.25"/>
  <cols>
    <col min="1" max="1" width="26.28515625" customWidth="1"/>
    <col min="2" max="2" width="95" customWidth="1"/>
    <col min="3" max="17" width="13" customWidth="1"/>
  </cols>
  <sheetData>
    <row r="1" spans="1:8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30" customHeight="1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ht="19.5" customHeight="1" x14ac:dyDescent="0.25"/>
    <row r="4" spans="1:8" ht="19.5" customHeight="1" x14ac:dyDescent="0.25">
      <c r="A4" s="5" t="s">
        <v>2</v>
      </c>
      <c r="B4" s="6" t="s">
        <v>3</v>
      </c>
    </row>
    <row r="5" spans="1:8" ht="19.5" customHeight="1" x14ac:dyDescent="0.25">
      <c r="A5" s="7" t="s">
        <v>4</v>
      </c>
      <c r="B5" s="8" t="s">
        <v>5</v>
      </c>
      <c r="C5" s="8"/>
      <c r="D5" s="8"/>
      <c r="E5" s="8"/>
      <c r="F5" s="8"/>
      <c r="G5" s="8"/>
      <c r="H5" s="8"/>
    </row>
    <row r="6" spans="1:8" ht="19.5" customHeight="1" x14ac:dyDescent="0.25">
      <c r="A6" s="7" t="s">
        <v>6</v>
      </c>
      <c r="B6" s="8" t="s">
        <v>7</v>
      </c>
      <c r="C6" s="8"/>
      <c r="D6" s="8"/>
      <c r="E6" s="8"/>
      <c r="F6" s="8"/>
      <c r="G6" s="8"/>
      <c r="H6" s="8"/>
    </row>
    <row r="7" spans="1:8" ht="19.5" customHeight="1" x14ac:dyDescent="0.25">
      <c r="A7" s="7" t="s">
        <v>8</v>
      </c>
      <c r="B7" s="8" t="s">
        <v>9</v>
      </c>
      <c r="C7" s="8"/>
      <c r="D7" s="8"/>
      <c r="E7" s="8"/>
      <c r="F7" s="8"/>
      <c r="G7" s="8"/>
      <c r="H7" s="8"/>
    </row>
    <row r="8" spans="1:8" ht="19.5" customHeight="1" x14ac:dyDescent="0.25">
      <c r="A8" s="7" t="s">
        <v>10</v>
      </c>
      <c r="B8" s="8" t="s">
        <v>11</v>
      </c>
      <c r="C8" s="8"/>
      <c r="D8" s="8"/>
      <c r="E8" s="8"/>
      <c r="F8" s="8"/>
      <c r="G8" s="8"/>
      <c r="H8" s="8"/>
    </row>
    <row r="9" spans="1:8" ht="19.5" customHeight="1" x14ac:dyDescent="0.25">
      <c r="A9" s="7" t="s">
        <v>12</v>
      </c>
      <c r="B9" s="8" t="s">
        <v>13</v>
      </c>
      <c r="C9" s="8"/>
      <c r="D9" s="8"/>
      <c r="E9" s="8"/>
      <c r="F9" s="8"/>
      <c r="G9" s="8"/>
      <c r="H9" s="8"/>
    </row>
    <row r="10" spans="1:8" ht="19.5" customHeight="1" x14ac:dyDescent="0.25">
      <c r="A10" s="8"/>
      <c r="B10" s="8"/>
      <c r="C10" s="8"/>
      <c r="D10" s="8"/>
      <c r="E10" s="8"/>
      <c r="F10" s="8"/>
      <c r="G10" s="8"/>
      <c r="H10" s="8"/>
    </row>
    <row r="11" spans="1:8" ht="19.5" customHeight="1" x14ac:dyDescent="0.25">
      <c r="A11" s="8"/>
      <c r="B11" s="8"/>
      <c r="C11" s="8"/>
      <c r="D11" s="8"/>
      <c r="E11" s="8"/>
      <c r="F11" s="8"/>
      <c r="G11" s="8"/>
      <c r="H11" s="8"/>
    </row>
    <row r="12" spans="1:8" ht="24" customHeight="1" x14ac:dyDescent="0.25">
      <c r="A12" s="2" t="s">
        <v>14</v>
      </c>
      <c r="B12" s="2"/>
      <c r="C12" s="8"/>
      <c r="D12" s="8"/>
      <c r="E12" s="8"/>
      <c r="F12" s="8"/>
      <c r="G12" s="8"/>
      <c r="H12" s="8"/>
    </row>
    <row r="13" spans="1:8" ht="21.75" customHeight="1" x14ac:dyDescent="0.25">
      <c r="A13" s="2"/>
      <c r="B13" s="2"/>
      <c r="C13" s="8"/>
      <c r="D13" s="8"/>
      <c r="E13" s="8"/>
      <c r="F13" s="8"/>
      <c r="G13" s="8"/>
      <c r="H13" s="8"/>
    </row>
    <row r="14" spans="1:8" ht="21.75" customHeight="1" x14ac:dyDescent="0.25">
      <c r="A14" s="2"/>
      <c r="B14" s="2"/>
      <c r="C14" s="8"/>
      <c r="D14" s="8"/>
      <c r="E14" s="8"/>
      <c r="F14" s="8"/>
      <c r="G14" s="8"/>
      <c r="H14" s="8"/>
    </row>
    <row r="15" spans="1:8" ht="21.75" customHeight="1" x14ac:dyDescent="0.25">
      <c r="A15" s="2"/>
      <c r="B15" s="2"/>
      <c r="C15" s="8"/>
      <c r="D15" s="8"/>
      <c r="E15" s="8"/>
      <c r="F15" s="8"/>
      <c r="G15" s="8"/>
      <c r="H15" s="8"/>
    </row>
    <row r="16" spans="1:8" ht="21.75" customHeight="1" x14ac:dyDescent="0.25">
      <c r="A16" s="2"/>
      <c r="B16" s="2"/>
      <c r="C16" s="8"/>
      <c r="D16" s="8"/>
      <c r="E16" s="8"/>
      <c r="F16" s="8"/>
      <c r="G16" s="8"/>
      <c r="H16" s="8"/>
    </row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49.5" customHeight="1" x14ac:dyDescent="0.25"/>
    <row r="30" ht="16.5" customHeight="1" x14ac:dyDescent="0.25"/>
    <row r="31" ht="19.5" customHeight="1" x14ac:dyDescent="0.25"/>
    <row r="32" ht="19.5" customHeight="1" x14ac:dyDescent="0.25"/>
    <row r="33" spans="1:2" ht="19.5" customHeight="1" x14ac:dyDescent="0.25"/>
    <row r="34" spans="1:2" ht="19.5" customHeight="1" x14ac:dyDescent="0.25">
      <c r="A34" s="16" t="s">
        <v>77</v>
      </c>
      <c r="B34" s="16" t="s">
        <v>78</v>
      </c>
    </row>
    <row r="35" spans="1:2" ht="19.5" customHeight="1" x14ac:dyDescent="0.25">
      <c r="A35" s="17" t="s">
        <v>79</v>
      </c>
      <c r="B35" s="17" t="s">
        <v>80</v>
      </c>
    </row>
    <row r="36" spans="1:2" ht="19.5" customHeight="1" x14ac:dyDescent="0.25">
      <c r="A36" s="17" t="s">
        <v>81</v>
      </c>
      <c r="B36" s="17" t="s">
        <v>82</v>
      </c>
    </row>
    <row r="37" spans="1:2" ht="32.25" customHeight="1" x14ac:dyDescent="0.25">
      <c r="A37" s="17" t="s">
        <v>83</v>
      </c>
      <c r="B37" s="17" t="s">
        <v>84</v>
      </c>
    </row>
    <row r="38" spans="1:2" ht="19.5" customHeight="1" x14ac:dyDescent="0.25">
      <c r="A38" s="17" t="s">
        <v>85</v>
      </c>
      <c r="B38" s="17" t="s">
        <v>86</v>
      </c>
    </row>
    <row r="39" spans="1:2" ht="19.5" customHeight="1" x14ac:dyDescent="0.25"/>
    <row r="40" spans="1:2" ht="29.25" customHeight="1" x14ac:dyDescent="0.25">
      <c r="A40" s="17" t="s">
        <v>87</v>
      </c>
      <c r="B40" s="17" t="s">
        <v>88</v>
      </c>
    </row>
    <row r="41" spans="1:2" ht="30.75" customHeight="1" x14ac:dyDescent="0.25">
      <c r="A41" s="17" t="s">
        <v>89</v>
      </c>
      <c r="B41" s="17" t="s">
        <v>90</v>
      </c>
    </row>
    <row r="42" spans="1:2" ht="27.75" customHeight="1" x14ac:dyDescent="0.25">
      <c r="A42" s="17" t="s">
        <v>91</v>
      </c>
      <c r="B42" s="17" t="s">
        <v>92</v>
      </c>
    </row>
    <row r="43" spans="1:2" ht="30.75" customHeight="1" x14ac:dyDescent="0.25">
      <c r="A43" s="17" t="s">
        <v>93</v>
      </c>
      <c r="B43" s="17" t="s">
        <v>94</v>
      </c>
    </row>
    <row r="44" spans="1:2" ht="19.5" customHeight="1" x14ac:dyDescent="0.25"/>
    <row r="45" spans="1:2" ht="19.5" customHeight="1" x14ac:dyDescent="0.25"/>
    <row r="46" spans="1:2" ht="19.5" customHeight="1" x14ac:dyDescent="0.25"/>
    <row r="47" spans="1:2" ht="19.5" customHeight="1" x14ac:dyDescent="0.25"/>
    <row r="48" spans="1:2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</sheetData>
  <mergeCells count="3">
    <mergeCell ref="A1:H1"/>
    <mergeCell ref="A2:H2"/>
    <mergeCell ref="A12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9"/>
  <sheetViews>
    <sheetView showGridLines="0" zoomScaleNormal="100" workbookViewId="0">
      <pane ySplit="4" topLeftCell="A5" activePane="bottomLeft" state="frozen"/>
      <selection pane="bottomLeft" activeCell="J18" sqref="J18"/>
    </sheetView>
  </sheetViews>
  <sheetFormatPr defaultColWidth="8.7109375" defaultRowHeight="15" customHeight="1" x14ac:dyDescent="0.25"/>
  <cols>
    <col min="1" max="4" width="14" customWidth="1"/>
    <col min="5" max="5" width="16" customWidth="1"/>
    <col min="6" max="6" width="14" customWidth="1"/>
    <col min="7" max="17" width="13" customWidth="1"/>
  </cols>
  <sheetData>
    <row r="1" spans="1:12" ht="25.5" customHeight="1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0" customHeight="1" x14ac:dyDescent="0.25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9.5" customHeight="1" x14ac:dyDescent="0.25"/>
    <row r="4" spans="1:12" ht="19.5" customHeight="1" x14ac:dyDescent="0.25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H4" s="5" t="s">
        <v>23</v>
      </c>
      <c r="I4" s="10">
        <f>COUNT(A5:A104)</f>
        <v>5</v>
      </c>
    </row>
    <row r="5" spans="1:12" ht="19.5" customHeight="1" x14ac:dyDescent="0.25">
      <c r="A5" s="11">
        <v>1</v>
      </c>
      <c r="B5" s="11">
        <v>2</v>
      </c>
      <c r="C5" s="12">
        <f t="shared" ref="C5:C36" si="0">IF(OR(A5="",B5=""),"",A5*B5)</f>
        <v>2</v>
      </c>
      <c r="D5" s="12">
        <f t="shared" ref="D5:D36" si="1">IF(A5="","",A5^2)</f>
        <v>1</v>
      </c>
      <c r="E5" s="12">
        <f t="shared" ref="E5:E36" si="2">IF(A5="","",$I$10*A5+$I$11)</f>
        <v>1.6</v>
      </c>
      <c r="F5" s="12">
        <f t="shared" ref="F5:F36" si="3">IF(OR(B5="",E5=""),"",B5-E5)</f>
        <v>0.39999999999999991</v>
      </c>
      <c r="G5" s="8"/>
      <c r="H5" s="7" t="s">
        <v>24</v>
      </c>
      <c r="I5" s="13">
        <f>SUM(A5:A104)</f>
        <v>15</v>
      </c>
    </row>
    <row r="6" spans="1:12" ht="19.5" customHeight="1" x14ac:dyDescent="0.25">
      <c r="A6" s="11">
        <v>2</v>
      </c>
      <c r="B6" s="11">
        <v>4</v>
      </c>
      <c r="C6" s="12">
        <f t="shared" si="0"/>
        <v>8</v>
      </c>
      <c r="D6" s="12">
        <f t="shared" si="1"/>
        <v>4</v>
      </c>
      <c r="E6" s="12">
        <f t="shared" si="2"/>
        <v>3.8000000000000003</v>
      </c>
      <c r="F6" s="12">
        <f t="shared" si="3"/>
        <v>0.19999999999999973</v>
      </c>
      <c r="G6" s="8"/>
      <c r="H6" s="7" t="s">
        <v>25</v>
      </c>
      <c r="I6" s="13">
        <f>SUM(B5:B104)</f>
        <v>30</v>
      </c>
    </row>
    <row r="7" spans="1:12" ht="19.5" customHeight="1" x14ac:dyDescent="0.25">
      <c r="A7" s="11">
        <v>3</v>
      </c>
      <c r="B7" s="11">
        <v>5</v>
      </c>
      <c r="C7" s="12">
        <f t="shared" si="0"/>
        <v>15</v>
      </c>
      <c r="D7" s="12">
        <f t="shared" si="1"/>
        <v>9</v>
      </c>
      <c r="E7" s="12">
        <f t="shared" si="2"/>
        <v>6.0000000000000009</v>
      </c>
      <c r="F7" s="12">
        <f t="shared" si="3"/>
        <v>-1.0000000000000009</v>
      </c>
      <c r="G7" s="8"/>
      <c r="H7" s="7" t="s">
        <v>26</v>
      </c>
      <c r="I7" s="13">
        <f>SUM(C5:C104)</f>
        <v>112</v>
      </c>
    </row>
    <row r="8" spans="1:12" ht="19.5" customHeight="1" x14ac:dyDescent="0.25">
      <c r="A8" s="11">
        <v>4</v>
      </c>
      <c r="B8" s="11">
        <v>8</v>
      </c>
      <c r="C8" s="12">
        <f t="shared" si="0"/>
        <v>32</v>
      </c>
      <c r="D8" s="12">
        <f t="shared" si="1"/>
        <v>16</v>
      </c>
      <c r="E8" s="12">
        <f t="shared" si="2"/>
        <v>8.2000000000000011</v>
      </c>
      <c r="F8" s="12">
        <f t="shared" si="3"/>
        <v>-0.20000000000000107</v>
      </c>
      <c r="G8" s="8"/>
      <c r="H8" s="7" t="s">
        <v>27</v>
      </c>
      <c r="I8" s="13">
        <f>SUM(D5:D104)</f>
        <v>55</v>
      </c>
    </row>
    <row r="9" spans="1:12" ht="19.5" customHeight="1" x14ac:dyDescent="0.25">
      <c r="A9" s="11">
        <v>5</v>
      </c>
      <c r="B9" s="11">
        <v>11</v>
      </c>
      <c r="C9" s="12">
        <f t="shared" si="0"/>
        <v>55</v>
      </c>
      <c r="D9" s="12">
        <f t="shared" si="1"/>
        <v>25</v>
      </c>
      <c r="E9" s="12">
        <f t="shared" si="2"/>
        <v>10.4</v>
      </c>
      <c r="F9" s="12">
        <f t="shared" si="3"/>
        <v>0.59999999999999964</v>
      </c>
      <c r="G9" s="8"/>
      <c r="H9" s="8"/>
      <c r="I9" s="8"/>
    </row>
    <row r="10" spans="1:12" ht="19.5" customHeight="1" x14ac:dyDescent="0.25">
      <c r="A10" s="11"/>
      <c r="B10" s="11"/>
      <c r="C10" s="12" t="str">
        <f t="shared" si="0"/>
        <v/>
      </c>
      <c r="D10" s="12" t="str">
        <f t="shared" si="1"/>
        <v/>
      </c>
      <c r="E10" s="12" t="str">
        <f t="shared" si="2"/>
        <v/>
      </c>
      <c r="F10" s="12" t="str">
        <f t="shared" si="3"/>
        <v/>
      </c>
      <c r="G10" s="8"/>
      <c r="H10" s="7" t="s">
        <v>28</v>
      </c>
      <c r="I10" s="14">
        <f>IFERROR((I4*I7-I5*I6)/(I4*I8-I5^2),"")</f>
        <v>2.2000000000000002</v>
      </c>
    </row>
    <row r="11" spans="1:12" ht="19.5" customHeight="1" x14ac:dyDescent="0.25">
      <c r="A11" s="11"/>
      <c r="B11" s="11"/>
      <c r="C11" s="12" t="str">
        <f t="shared" si="0"/>
        <v/>
      </c>
      <c r="D11" s="12" t="str">
        <f t="shared" si="1"/>
        <v/>
      </c>
      <c r="E11" s="12" t="str">
        <f t="shared" si="2"/>
        <v/>
      </c>
      <c r="F11" s="12" t="str">
        <f t="shared" si="3"/>
        <v/>
      </c>
      <c r="G11" s="8"/>
      <c r="H11" s="7" t="s">
        <v>29</v>
      </c>
      <c r="I11" s="14">
        <f>(I6 - I10*I5)/I4</f>
        <v>-0.6</v>
      </c>
    </row>
    <row r="12" spans="1:12" ht="19.5" customHeight="1" x14ac:dyDescent="0.25">
      <c r="A12" s="11"/>
      <c r="B12" s="11"/>
      <c r="C12" s="12" t="str">
        <f t="shared" si="0"/>
        <v/>
      </c>
      <c r="D12" s="12" t="str">
        <f t="shared" si="1"/>
        <v/>
      </c>
      <c r="E12" s="12" t="str">
        <f t="shared" si="2"/>
        <v/>
      </c>
      <c r="F12" s="12" t="str">
        <f t="shared" si="3"/>
        <v/>
      </c>
      <c r="G12" s="8"/>
      <c r="H12" s="8"/>
      <c r="I12" s="8"/>
    </row>
    <row r="13" spans="1:12" ht="19.5" customHeight="1" x14ac:dyDescent="0.25">
      <c r="A13" s="11"/>
      <c r="B13" s="11"/>
      <c r="C13" s="12" t="str">
        <f t="shared" si="0"/>
        <v/>
      </c>
      <c r="D13" s="12" t="str">
        <f t="shared" si="1"/>
        <v/>
      </c>
      <c r="E13" s="12" t="str">
        <f t="shared" si="2"/>
        <v/>
      </c>
      <c r="F13" s="12" t="str">
        <f t="shared" si="3"/>
        <v/>
      </c>
      <c r="G13" s="8"/>
      <c r="H13" s="7" t="s">
        <v>30</v>
      </c>
      <c r="I13" s="14">
        <f>SUMPRODUCT(F5:F104,F5:F104)</f>
        <v>1.6000000000000016</v>
      </c>
    </row>
    <row r="14" spans="1:12" ht="19.5" customHeight="1" x14ac:dyDescent="0.25">
      <c r="A14" s="11"/>
      <c r="B14" s="11"/>
      <c r="C14" s="12" t="str">
        <f t="shared" si="0"/>
        <v/>
      </c>
      <c r="D14" s="12" t="str">
        <f t="shared" si="1"/>
        <v/>
      </c>
      <c r="E14" s="12" t="str">
        <f t="shared" si="2"/>
        <v/>
      </c>
      <c r="F14" s="12" t="str">
        <f t="shared" si="3"/>
        <v/>
      </c>
      <c r="G14" s="8"/>
      <c r="H14" s="7" t="s">
        <v>31</v>
      </c>
      <c r="I14" s="14">
        <f>IF(COUNT(B5:B104)&gt;1,IFERROR(1-I13/DEVSQ(B5:B104),""),"")</f>
        <v>0.96799999999999997</v>
      </c>
    </row>
    <row r="15" spans="1:12" ht="19.5" customHeight="1" x14ac:dyDescent="0.25">
      <c r="A15" s="11"/>
      <c r="B15" s="11"/>
      <c r="C15" s="12" t="str">
        <f t="shared" si="0"/>
        <v/>
      </c>
      <c r="D15" s="12" t="str">
        <f t="shared" si="1"/>
        <v/>
      </c>
      <c r="E15" s="12" t="str">
        <f t="shared" si="2"/>
        <v/>
      </c>
      <c r="F15" s="12" t="str">
        <f t="shared" si="3"/>
        <v/>
      </c>
      <c r="G15" s="8"/>
      <c r="H15" s="8"/>
      <c r="I15" s="8"/>
    </row>
    <row r="16" spans="1:12" ht="19.5" customHeight="1" x14ac:dyDescent="0.25">
      <c r="A16" s="11"/>
      <c r="B16" s="11"/>
      <c r="C16" s="12" t="str">
        <f t="shared" si="0"/>
        <v/>
      </c>
      <c r="D16" s="12" t="str">
        <f t="shared" si="1"/>
        <v/>
      </c>
      <c r="E16" s="12" t="str">
        <f t="shared" si="2"/>
        <v/>
      </c>
      <c r="F16" s="12" t="str">
        <f t="shared" si="3"/>
        <v/>
      </c>
      <c r="G16" s="8"/>
      <c r="H16" s="7" t="s">
        <v>32</v>
      </c>
      <c r="I16" t="str">
        <f>IF(OR(I10="",I11=""),"","y = "&amp;TEXT(I10,"0.000000")&amp;"x "&amp;IF(I11&gt;=0,"+ ","- ")&amp;TEXT(ABS(I11),"0.000000"))</f>
        <v>y = 0.000.002x - 0.000.001</v>
      </c>
      <c r="J16" s="8"/>
    </row>
    <row r="17" spans="1:9" ht="19.5" customHeight="1" x14ac:dyDescent="0.25">
      <c r="A17" s="11"/>
      <c r="B17" s="11"/>
      <c r="C17" s="12" t="str">
        <f t="shared" si="0"/>
        <v/>
      </c>
      <c r="D17" s="12" t="str">
        <f t="shared" si="1"/>
        <v/>
      </c>
      <c r="E17" s="12" t="str">
        <f t="shared" si="2"/>
        <v/>
      </c>
      <c r="F17" s="12" t="str">
        <f t="shared" si="3"/>
        <v/>
      </c>
      <c r="G17" s="8"/>
      <c r="H17" s="8"/>
      <c r="I17" s="8"/>
    </row>
    <row r="18" spans="1:9" ht="24" customHeight="1" x14ac:dyDescent="0.25">
      <c r="A18" s="11"/>
      <c r="B18" s="11"/>
      <c r="C18" s="12" t="str">
        <f t="shared" si="0"/>
        <v/>
      </c>
      <c r="D18" s="12" t="str">
        <f t="shared" si="1"/>
        <v/>
      </c>
      <c r="E18" s="12" t="str">
        <f t="shared" si="2"/>
        <v/>
      </c>
      <c r="F18" s="12" t="str">
        <f t="shared" si="3"/>
        <v/>
      </c>
      <c r="G18" s="8"/>
      <c r="H18" s="2" t="s">
        <v>33</v>
      </c>
      <c r="I18" s="2"/>
    </row>
    <row r="19" spans="1:9" ht="24" customHeight="1" x14ac:dyDescent="0.25">
      <c r="A19" s="11"/>
      <c r="B19" s="11"/>
      <c r="C19" s="12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8"/>
      <c r="H19" s="2"/>
      <c r="I19" s="2"/>
    </row>
    <row r="20" spans="1:9" ht="24" customHeight="1" x14ac:dyDescent="0.25">
      <c r="A20" s="11"/>
      <c r="B20" s="11"/>
      <c r="C20" s="12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8"/>
      <c r="H20" s="2"/>
      <c r="I20" s="2"/>
    </row>
    <row r="21" spans="1:9" ht="24" customHeight="1" x14ac:dyDescent="0.25">
      <c r="A21" s="11"/>
      <c r="B21" s="11"/>
      <c r="C21" s="12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8"/>
      <c r="H21" s="2"/>
      <c r="I21" s="2"/>
    </row>
    <row r="22" spans="1:9" ht="19.5" customHeight="1" x14ac:dyDescent="0.25">
      <c r="A22" s="11"/>
      <c r="B22" s="11"/>
      <c r="C22" s="12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8"/>
      <c r="H22" s="8"/>
      <c r="I22" s="8"/>
    </row>
    <row r="23" spans="1:9" ht="19.5" customHeight="1" x14ac:dyDescent="0.25">
      <c r="A23" s="11"/>
      <c r="B23" s="11"/>
      <c r="C23" s="12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8"/>
      <c r="H23" s="8"/>
      <c r="I23" s="8"/>
    </row>
    <row r="24" spans="1:9" ht="19.5" customHeight="1" x14ac:dyDescent="0.25">
      <c r="A24" s="11"/>
      <c r="B24" s="11"/>
      <c r="C24" s="12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8"/>
      <c r="H24" s="8"/>
      <c r="I24" s="8"/>
    </row>
    <row r="25" spans="1:9" ht="19.5" customHeight="1" x14ac:dyDescent="0.25">
      <c r="A25" s="11"/>
      <c r="B25" s="11"/>
      <c r="C25" s="12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8"/>
      <c r="H25" s="8"/>
      <c r="I25" s="8"/>
    </row>
    <row r="26" spans="1:9" ht="19.5" customHeight="1" x14ac:dyDescent="0.25">
      <c r="A26" s="11"/>
      <c r="B26" s="11"/>
      <c r="C26" s="12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8"/>
      <c r="H26" s="8"/>
      <c r="I26" s="8"/>
    </row>
    <row r="27" spans="1:9" ht="19.5" customHeight="1" x14ac:dyDescent="0.25">
      <c r="A27" s="11"/>
      <c r="B27" s="11"/>
      <c r="C27" s="12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8"/>
      <c r="H27" s="8"/>
      <c r="I27" s="8"/>
    </row>
    <row r="28" spans="1:9" ht="19.5" customHeight="1" x14ac:dyDescent="0.25">
      <c r="A28" s="11"/>
      <c r="B28" s="11"/>
      <c r="C28" s="12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8"/>
      <c r="H28" s="8"/>
      <c r="I28" s="8"/>
    </row>
    <row r="29" spans="1:9" ht="19.5" customHeight="1" x14ac:dyDescent="0.25">
      <c r="A29" s="11"/>
      <c r="B29" s="11"/>
      <c r="C29" s="12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8"/>
      <c r="H29" s="8"/>
      <c r="I29" s="8"/>
    </row>
    <row r="30" spans="1:9" ht="19.5" customHeight="1" x14ac:dyDescent="0.25">
      <c r="A30" s="11"/>
      <c r="B30" s="11"/>
      <c r="C30" s="12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8"/>
      <c r="H30" s="8"/>
      <c r="I30" s="8"/>
    </row>
    <row r="31" spans="1:9" ht="19.5" customHeight="1" x14ac:dyDescent="0.25">
      <c r="A31" s="11"/>
      <c r="B31" s="11"/>
      <c r="C31" s="12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8"/>
      <c r="H31" s="8"/>
      <c r="I31" s="8"/>
    </row>
    <row r="32" spans="1:9" ht="19.5" customHeight="1" x14ac:dyDescent="0.25">
      <c r="A32" s="11"/>
      <c r="B32" s="11"/>
      <c r="C32" s="12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8"/>
      <c r="H32" s="8"/>
      <c r="I32" s="8"/>
    </row>
    <row r="33" spans="1:9" ht="19.5" customHeight="1" x14ac:dyDescent="0.25">
      <c r="A33" s="11"/>
      <c r="B33" s="11"/>
      <c r="C33" s="12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8"/>
      <c r="H33" s="8"/>
      <c r="I33" s="8"/>
    </row>
    <row r="34" spans="1:9" ht="19.5" customHeight="1" x14ac:dyDescent="0.25">
      <c r="A34" s="11"/>
      <c r="B34" s="11"/>
      <c r="C34" s="12" t="str">
        <f t="shared" si="0"/>
        <v/>
      </c>
      <c r="D34" s="12" t="str">
        <f t="shared" si="1"/>
        <v/>
      </c>
      <c r="E34" s="12" t="str">
        <f t="shared" si="2"/>
        <v/>
      </c>
      <c r="F34" s="12" t="str">
        <f t="shared" si="3"/>
        <v/>
      </c>
      <c r="G34" s="8"/>
      <c r="H34" s="8"/>
      <c r="I34" s="8"/>
    </row>
    <row r="35" spans="1:9" ht="19.5" customHeight="1" x14ac:dyDescent="0.25">
      <c r="A35" s="11"/>
      <c r="B35" s="11"/>
      <c r="C35" s="12" t="str">
        <f t="shared" si="0"/>
        <v/>
      </c>
      <c r="D35" s="12" t="str">
        <f t="shared" si="1"/>
        <v/>
      </c>
      <c r="E35" s="12" t="str">
        <f t="shared" si="2"/>
        <v/>
      </c>
      <c r="F35" s="12" t="str">
        <f t="shared" si="3"/>
        <v/>
      </c>
      <c r="G35" s="8"/>
      <c r="H35" s="8"/>
      <c r="I35" s="8"/>
    </row>
    <row r="36" spans="1:9" ht="19.5" customHeight="1" x14ac:dyDescent="0.25">
      <c r="A36" s="11"/>
      <c r="B36" s="11"/>
      <c r="C36" s="12" t="str">
        <f t="shared" si="0"/>
        <v/>
      </c>
      <c r="D36" s="12" t="str">
        <f t="shared" si="1"/>
        <v/>
      </c>
      <c r="E36" s="12" t="str">
        <f t="shared" si="2"/>
        <v/>
      </c>
      <c r="F36" s="12" t="str">
        <f t="shared" si="3"/>
        <v/>
      </c>
      <c r="G36" s="8"/>
      <c r="H36" s="8"/>
      <c r="I36" s="8"/>
    </row>
    <row r="37" spans="1:9" ht="19.5" customHeight="1" x14ac:dyDescent="0.25">
      <c r="A37" s="11"/>
      <c r="B37" s="11"/>
      <c r="C37" s="12" t="str">
        <f t="shared" ref="C37:C68" si="4">IF(OR(A37="",B37=""),"",A37*B37)</f>
        <v/>
      </c>
      <c r="D37" s="12" t="str">
        <f t="shared" ref="D37:D68" si="5">IF(A37="","",A37^2)</f>
        <v/>
      </c>
      <c r="E37" s="12" t="str">
        <f t="shared" ref="E37:E68" si="6">IF(A37="","",$I$10*A37+$I$11)</f>
        <v/>
      </c>
      <c r="F37" s="12" t="str">
        <f t="shared" ref="F37:F68" si="7">IF(OR(B37="",E37=""),"",B37-E37)</f>
        <v/>
      </c>
      <c r="G37" s="8"/>
      <c r="H37" s="8"/>
      <c r="I37" s="8"/>
    </row>
    <row r="38" spans="1:9" ht="19.5" customHeight="1" x14ac:dyDescent="0.25">
      <c r="A38" s="11"/>
      <c r="B38" s="11"/>
      <c r="C38" s="12" t="str">
        <f t="shared" si="4"/>
        <v/>
      </c>
      <c r="D38" s="12" t="str">
        <f t="shared" si="5"/>
        <v/>
      </c>
      <c r="E38" s="12" t="str">
        <f t="shared" si="6"/>
        <v/>
      </c>
      <c r="F38" s="12" t="str">
        <f t="shared" si="7"/>
        <v/>
      </c>
      <c r="G38" s="8"/>
      <c r="H38" s="8"/>
      <c r="I38" s="8"/>
    </row>
    <row r="39" spans="1:9" ht="19.5" customHeight="1" x14ac:dyDescent="0.25">
      <c r="A39" s="11"/>
      <c r="B39" s="11"/>
      <c r="C39" s="12" t="str">
        <f t="shared" si="4"/>
        <v/>
      </c>
      <c r="D39" s="12" t="str">
        <f t="shared" si="5"/>
        <v/>
      </c>
      <c r="E39" s="12" t="str">
        <f t="shared" si="6"/>
        <v/>
      </c>
      <c r="F39" s="12" t="str">
        <f t="shared" si="7"/>
        <v/>
      </c>
      <c r="G39" s="8"/>
      <c r="H39" s="8"/>
      <c r="I39" s="8"/>
    </row>
    <row r="40" spans="1:9" ht="19.5" customHeight="1" x14ac:dyDescent="0.25">
      <c r="A40" s="11"/>
      <c r="B40" s="11"/>
      <c r="C40" s="12" t="str">
        <f t="shared" si="4"/>
        <v/>
      </c>
      <c r="D40" s="12" t="str">
        <f t="shared" si="5"/>
        <v/>
      </c>
      <c r="E40" s="12" t="str">
        <f t="shared" si="6"/>
        <v/>
      </c>
      <c r="F40" s="12" t="str">
        <f t="shared" si="7"/>
        <v/>
      </c>
      <c r="G40" s="8"/>
      <c r="H40" s="8"/>
      <c r="I40" s="8"/>
    </row>
    <row r="41" spans="1:9" ht="19.5" customHeight="1" x14ac:dyDescent="0.25">
      <c r="A41" s="11"/>
      <c r="B41" s="11"/>
      <c r="C41" s="12" t="str">
        <f t="shared" si="4"/>
        <v/>
      </c>
      <c r="D41" s="12" t="str">
        <f t="shared" si="5"/>
        <v/>
      </c>
      <c r="E41" s="12" t="str">
        <f t="shared" si="6"/>
        <v/>
      </c>
      <c r="F41" s="12" t="str">
        <f t="shared" si="7"/>
        <v/>
      </c>
      <c r="G41" s="8"/>
      <c r="H41" s="8"/>
      <c r="I41" s="8"/>
    </row>
    <row r="42" spans="1:9" ht="19.5" customHeight="1" x14ac:dyDescent="0.25">
      <c r="A42" s="11"/>
      <c r="B42" s="11"/>
      <c r="C42" s="12" t="str">
        <f t="shared" si="4"/>
        <v/>
      </c>
      <c r="D42" s="12" t="str">
        <f t="shared" si="5"/>
        <v/>
      </c>
      <c r="E42" s="12" t="str">
        <f t="shared" si="6"/>
        <v/>
      </c>
      <c r="F42" s="12" t="str">
        <f t="shared" si="7"/>
        <v/>
      </c>
      <c r="G42" s="8"/>
      <c r="H42" s="8"/>
      <c r="I42" s="8"/>
    </row>
    <row r="43" spans="1:9" ht="19.5" customHeight="1" x14ac:dyDescent="0.25">
      <c r="A43" s="11"/>
      <c r="B43" s="11"/>
      <c r="C43" s="12" t="str">
        <f t="shared" si="4"/>
        <v/>
      </c>
      <c r="D43" s="12" t="str">
        <f t="shared" si="5"/>
        <v/>
      </c>
      <c r="E43" s="12" t="str">
        <f t="shared" si="6"/>
        <v/>
      </c>
      <c r="F43" s="12" t="str">
        <f t="shared" si="7"/>
        <v/>
      </c>
      <c r="G43" s="8"/>
      <c r="H43" s="8"/>
      <c r="I43" s="8"/>
    </row>
    <row r="44" spans="1:9" ht="19.5" customHeight="1" x14ac:dyDescent="0.25">
      <c r="A44" s="11"/>
      <c r="B44" s="11"/>
      <c r="C44" s="12" t="str">
        <f t="shared" si="4"/>
        <v/>
      </c>
      <c r="D44" s="12" t="str">
        <f t="shared" si="5"/>
        <v/>
      </c>
      <c r="E44" s="12" t="str">
        <f t="shared" si="6"/>
        <v/>
      </c>
      <c r="F44" s="12" t="str">
        <f t="shared" si="7"/>
        <v/>
      </c>
      <c r="G44" s="8"/>
      <c r="H44" s="8"/>
      <c r="I44" s="8"/>
    </row>
    <row r="45" spans="1:9" ht="19.5" customHeight="1" x14ac:dyDescent="0.25">
      <c r="A45" s="11"/>
      <c r="B45" s="11"/>
      <c r="C45" s="12" t="str">
        <f t="shared" si="4"/>
        <v/>
      </c>
      <c r="D45" s="12" t="str">
        <f t="shared" si="5"/>
        <v/>
      </c>
      <c r="E45" s="12" t="str">
        <f t="shared" si="6"/>
        <v/>
      </c>
      <c r="F45" s="12" t="str">
        <f t="shared" si="7"/>
        <v/>
      </c>
      <c r="G45" s="8"/>
      <c r="H45" s="8"/>
      <c r="I45" s="8"/>
    </row>
    <row r="46" spans="1:9" ht="19.5" customHeight="1" x14ac:dyDescent="0.25">
      <c r="A46" s="11"/>
      <c r="B46" s="11"/>
      <c r="C46" s="12" t="str">
        <f t="shared" si="4"/>
        <v/>
      </c>
      <c r="D46" s="12" t="str">
        <f t="shared" si="5"/>
        <v/>
      </c>
      <c r="E46" s="12" t="str">
        <f t="shared" si="6"/>
        <v/>
      </c>
      <c r="F46" s="12" t="str">
        <f t="shared" si="7"/>
        <v/>
      </c>
      <c r="G46" s="8"/>
      <c r="H46" s="8"/>
      <c r="I46" s="8"/>
    </row>
    <row r="47" spans="1:9" ht="19.5" customHeight="1" x14ac:dyDescent="0.25">
      <c r="A47" s="11"/>
      <c r="B47" s="11"/>
      <c r="C47" s="12" t="str">
        <f t="shared" si="4"/>
        <v/>
      </c>
      <c r="D47" s="12" t="str">
        <f t="shared" si="5"/>
        <v/>
      </c>
      <c r="E47" s="12" t="str">
        <f t="shared" si="6"/>
        <v/>
      </c>
      <c r="F47" s="12" t="str">
        <f t="shared" si="7"/>
        <v/>
      </c>
      <c r="G47" s="8"/>
      <c r="H47" s="8"/>
      <c r="I47" s="8"/>
    </row>
    <row r="48" spans="1:9" ht="19.5" customHeight="1" x14ac:dyDescent="0.25">
      <c r="A48" s="11"/>
      <c r="B48" s="11"/>
      <c r="C48" s="12" t="str">
        <f t="shared" si="4"/>
        <v/>
      </c>
      <c r="D48" s="12" t="str">
        <f t="shared" si="5"/>
        <v/>
      </c>
      <c r="E48" s="12" t="str">
        <f t="shared" si="6"/>
        <v/>
      </c>
      <c r="F48" s="12" t="str">
        <f t="shared" si="7"/>
        <v/>
      </c>
      <c r="G48" s="8"/>
      <c r="H48" s="8"/>
      <c r="I48" s="8"/>
    </row>
    <row r="49" spans="1:9" ht="19.5" customHeight="1" x14ac:dyDescent="0.25">
      <c r="A49" s="11"/>
      <c r="B49" s="11"/>
      <c r="C49" s="12" t="str">
        <f t="shared" si="4"/>
        <v/>
      </c>
      <c r="D49" s="12" t="str">
        <f t="shared" si="5"/>
        <v/>
      </c>
      <c r="E49" s="12" t="str">
        <f t="shared" si="6"/>
        <v/>
      </c>
      <c r="F49" s="12" t="str">
        <f t="shared" si="7"/>
        <v/>
      </c>
      <c r="G49" s="8"/>
      <c r="H49" s="8"/>
      <c r="I49" s="8"/>
    </row>
    <row r="50" spans="1:9" ht="19.5" customHeight="1" x14ac:dyDescent="0.25">
      <c r="A50" s="11"/>
      <c r="B50" s="11"/>
      <c r="C50" s="12" t="str">
        <f t="shared" si="4"/>
        <v/>
      </c>
      <c r="D50" s="12" t="str">
        <f t="shared" si="5"/>
        <v/>
      </c>
      <c r="E50" s="12" t="str">
        <f t="shared" si="6"/>
        <v/>
      </c>
      <c r="F50" s="12" t="str">
        <f t="shared" si="7"/>
        <v/>
      </c>
      <c r="G50" s="8"/>
      <c r="H50" s="8"/>
      <c r="I50" s="8"/>
    </row>
    <row r="51" spans="1:9" ht="19.5" customHeight="1" x14ac:dyDescent="0.25">
      <c r="A51" s="11"/>
      <c r="B51" s="11"/>
      <c r="C51" s="12" t="str">
        <f t="shared" si="4"/>
        <v/>
      </c>
      <c r="D51" s="12" t="str">
        <f t="shared" si="5"/>
        <v/>
      </c>
      <c r="E51" s="12" t="str">
        <f t="shared" si="6"/>
        <v/>
      </c>
      <c r="F51" s="12" t="str">
        <f t="shared" si="7"/>
        <v/>
      </c>
      <c r="G51" s="8"/>
      <c r="H51" s="8"/>
      <c r="I51" s="8"/>
    </row>
    <row r="52" spans="1:9" ht="19.5" customHeight="1" x14ac:dyDescent="0.25">
      <c r="A52" s="11"/>
      <c r="B52" s="11"/>
      <c r="C52" s="12" t="str">
        <f t="shared" si="4"/>
        <v/>
      </c>
      <c r="D52" s="12" t="str">
        <f t="shared" si="5"/>
        <v/>
      </c>
      <c r="E52" s="12" t="str">
        <f t="shared" si="6"/>
        <v/>
      </c>
      <c r="F52" s="12" t="str">
        <f t="shared" si="7"/>
        <v/>
      </c>
      <c r="G52" s="8"/>
      <c r="H52" s="8"/>
      <c r="I52" s="8"/>
    </row>
    <row r="53" spans="1:9" ht="19.5" customHeight="1" x14ac:dyDescent="0.25">
      <c r="A53" s="11"/>
      <c r="B53" s="11"/>
      <c r="C53" s="12" t="str">
        <f t="shared" si="4"/>
        <v/>
      </c>
      <c r="D53" s="12" t="str">
        <f t="shared" si="5"/>
        <v/>
      </c>
      <c r="E53" s="12" t="str">
        <f t="shared" si="6"/>
        <v/>
      </c>
      <c r="F53" s="12" t="str">
        <f t="shared" si="7"/>
        <v/>
      </c>
      <c r="G53" s="8"/>
      <c r="H53" s="8"/>
      <c r="I53" s="8"/>
    </row>
    <row r="54" spans="1:9" ht="19.5" customHeight="1" x14ac:dyDescent="0.25">
      <c r="A54" s="11"/>
      <c r="B54" s="11"/>
      <c r="C54" s="12" t="str">
        <f t="shared" si="4"/>
        <v/>
      </c>
      <c r="D54" s="12" t="str">
        <f t="shared" si="5"/>
        <v/>
      </c>
      <c r="E54" s="12" t="str">
        <f t="shared" si="6"/>
        <v/>
      </c>
      <c r="F54" s="12" t="str">
        <f t="shared" si="7"/>
        <v/>
      </c>
      <c r="G54" s="8"/>
      <c r="H54" s="8"/>
      <c r="I54" s="8"/>
    </row>
    <row r="55" spans="1:9" ht="19.5" customHeight="1" x14ac:dyDescent="0.25">
      <c r="A55" s="11"/>
      <c r="B55" s="11"/>
      <c r="C55" s="12" t="str">
        <f t="shared" si="4"/>
        <v/>
      </c>
      <c r="D55" s="12" t="str">
        <f t="shared" si="5"/>
        <v/>
      </c>
      <c r="E55" s="12" t="str">
        <f t="shared" si="6"/>
        <v/>
      </c>
      <c r="F55" s="12" t="str">
        <f t="shared" si="7"/>
        <v/>
      </c>
      <c r="G55" s="8"/>
      <c r="H55" s="8"/>
      <c r="I55" s="8"/>
    </row>
    <row r="56" spans="1:9" ht="19.5" customHeight="1" x14ac:dyDescent="0.25">
      <c r="A56" s="11"/>
      <c r="B56" s="11"/>
      <c r="C56" s="12" t="str">
        <f t="shared" si="4"/>
        <v/>
      </c>
      <c r="D56" s="12" t="str">
        <f t="shared" si="5"/>
        <v/>
      </c>
      <c r="E56" s="12" t="str">
        <f t="shared" si="6"/>
        <v/>
      </c>
      <c r="F56" s="12" t="str">
        <f t="shared" si="7"/>
        <v/>
      </c>
      <c r="G56" s="8"/>
      <c r="H56" s="8"/>
      <c r="I56" s="8"/>
    </row>
    <row r="57" spans="1:9" ht="19.5" customHeight="1" x14ac:dyDescent="0.25">
      <c r="A57" s="11"/>
      <c r="B57" s="11"/>
      <c r="C57" s="12" t="str">
        <f t="shared" si="4"/>
        <v/>
      </c>
      <c r="D57" s="12" t="str">
        <f t="shared" si="5"/>
        <v/>
      </c>
      <c r="E57" s="12" t="str">
        <f t="shared" si="6"/>
        <v/>
      </c>
      <c r="F57" s="12" t="str">
        <f t="shared" si="7"/>
        <v/>
      </c>
      <c r="G57" s="8"/>
      <c r="H57" s="8"/>
      <c r="I57" s="8"/>
    </row>
    <row r="58" spans="1:9" ht="19.5" customHeight="1" x14ac:dyDescent="0.25">
      <c r="A58" s="11"/>
      <c r="B58" s="11"/>
      <c r="C58" s="12" t="str">
        <f t="shared" si="4"/>
        <v/>
      </c>
      <c r="D58" s="12" t="str">
        <f t="shared" si="5"/>
        <v/>
      </c>
      <c r="E58" s="12" t="str">
        <f t="shared" si="6"/>
        <v/>
      </c>
      <c r="F58" s="12" t="str">
        <f t="shared" si="7"/>
        <v/>
      </c>
      <c r="G58" s="8"/>
      <c r="H58" s="8"/>
      <c r="I58" s="8"/>
    </row>
    <row r="59" spans="1:9" ht="19.5" customHeight="1" x14ac:dyDescent="0.25">
      <c r="A59" s="11"/>
      <c r="B59" s="11"/>
      <c r="C59" s="12" t="str">
        <f t="shared" si="4"/>
        <v/>
      </c>
      <c r="D59" s="12" t="str">
        <f t="shared" si="5"/>
        <v/>
      </c>
      <c r="E59" s="12" t="str">
        <f t="shared" si="6"/>
        <v/>
      </c>
      <c r="F59" s="12" t="str">
        <f t="shared" si="7"/>
        <v/>
      </c>
      <c r="G59" s="8"/>
      <c r="H59" s="8"/>
      <c r="I59" s="8"/>
    </row>
    <row r="60" spans="1:9" ht="19.5" customHeight="1" x14ac:dyDescent="0.25">
      <c r="A60" s="11"/>
      <c r="B60" s="11"/>
      <c r="C60" s="12" t="str">
        <f t="shared" si="4"/>
        <v/>
      </c>
      <c r="D60" s="12" t="str">
        <f t="shared" si="5"/>
        <v/>
      </c>
      <c r="E60" s="12" t="str">
        <f t="shared" si="6"/>
        <v/>
      </c>
      <c r="F60" s="12" t="str">
        <f t="shared" si="7"/>
        <v/>
      </c>
      <c r="G60" s="8"/>
      <c r="H60" s="8"/>
      <c r="I60" s="8"/>
    </row>
    <row r="61" spans="1:9" ht="19.5" customHeight="1" x14ac:dyDescent="0.25">
      <c r="A61" s="11"/>
      <c r="B61" s="11"/>
      <c r="C61" s="12" t="str">
        <f t="shared" si="4"/>
        <v/>
      </c>
      <c r="D61" s="12" t="str">
        <f t="shared" si="5"/>
        <v/>
      </c>
      <c r="E61" s="12" t="str">
        <f t="shared" si="6"/>
        <v/>
      </c>
      <c r="F61" s="12" t="str">
        <f t="shared" si="7"/>
        <v/>
      </c>
      <c r="G61" s="8"/>
      <c r="H61" s="8"/>
      <c r="I61" s="8"/>
    </row>
    <row r="62" spans="1:9" ht="19.5" customHeight="1" x14ac:dyDescent="0.25">
      <c r="A62" s="11"/>
      <c r="B62" s="11"/>
      <c r="C62" s="12" t="str">
        <f t="shared" si="4"/>
        <v/>
      </c>
      <c r="D62" s="12" t="str">
        <f t="shared" si="5"/>
        <v/>
      </c>
      <c r="E62" s="12" t="str">
        <f t="shared" si="6"/>
        <v/>
      </c>
      <c r="F62" s="12" t="str">
        <f t="shared" si="7"/>
        <v/>
      </c>
      <c r="G62" s="8"/>
      <c r="H62" s="8"/>
      <c r="I62" s="8"/>
    </row>
    <row r="63" spans="1:9" ht="19.5" customHeight="1" x14ac:dyDescent="0.25">
      <c r="A63" s="11"/>
      <c r="B63" s="11"/>
      <c r="C63" s="12" t="str">
        <f t="shared" si="4"/>
        <v/>
      </c>
      <c r="D63" s="12" t="str">
        <f t="shared" si="5"/>
        <v/>
      </c>
      <c r="E63" s="12" t="str">
        <f t="shared" si="6"/>
        <v/>
      </c>
      <c r="F63" s="12" t="str">
        <f t="shared" si="7"/>
        <v/>
      </c>
      <c r="G63" s="8"/>
      <c r="H63" s="8"/>
      <c r="I63" s="8"/>
    </row>
    <row r="64" spans="1:9" ht="19.5" customHeight="1" x14ac:dyDescent="0.25">
      <c r="A64" s="11"/>
      <c r="B64" s="11"/>
      <c r="C64" s="12" t="str">
        <f t="shared" si="4"/>
        <v/>
      </c>
      <c r="D64" s="12" t="str">
        <f t="shared" si="5"/>
        <v/>
      </c>
      <c r="E64" s="12" t="str">
        <f t="shared" si="6"/>
        <v/>
      </c>
      <c r="F64" s="12" t="str">
        <f t="shared" si="7"/>
        <v/>
      </c>
      <c r="G64" s="8"/>
      <c r="H64" s="8"/>
      <c r="I64" s="8"/>
    </row>
    <row r="65" spans="1:9" ht="19.5" customHeight="1" x14ac:dyDescent="0.25">
      <c r="A65" s="11"/>
      <c r="B65" s="11"/>
      <c r="C65" s="12" t="str">
        <f t="shared" si="4"/>
        <v/>
      </c>
      <c r="D65" s="12" t="str">
        <f t="shared" si="5"/>
        <v/>
      </c>
      <c r="E65" s="12" t="str">
        <f t="shared" si="6"/>
        <v/>
      </c>
      <c r="F65" s="12" t="str">
        <f t="shared" si="7"/>
        <v/>
      </c>
      <c r="G65" s="8"/>
      <c r="H65" s="8"/>
      <c r="I65" s="8"/>
    </row>
    <row r="66" spans="1:9" ht="19.5" customHeight="1" x14ac:dyDescent="0.25">
      <c r="A66" s="11"/>
      <c r="B66" s="11"/>
      <c r="C66" s="12" t="str">
        <f t="shared" si="4"/>
        <v/>
      </c>
      <c r="D66" s="12" t="str">
        <f t="shared" si="5"/>
        <v/>
      </c>
      <c r="E66" s="12" t="str">
        <f t="shared" si="6"/>
        <v/>
      </c>
      <c r="F66" s="12" t="str">
        <f t="shared" si="7"/>
        <v/>
      </c>
      <c r="G66" s="8"/>
      <c r="H66" s="8"/>
      <c r="I66" s="8"/>
    </row>
    <row r="67" spans="1:9" ht="19.5" customHeight="1" x14ac:dyDescent="0.25">
      <c r="A67" s="11"/>
      <c r="B67" s="11"/>
      <c r="C67" s="12" t="str">
        <f t="shared" si="4"/>
        <v/>
      </c>
      <c r="D67" s="12" t="str">
        <f t="shared" si="5"/>
        <v/>
      </c>
      <c r="E67" s="12" t="str">
        <f t="shared" si="6"/>
        <v/>
      </c>
      <c r="F67" s="12" t="str">
        <f t="shared" si="7"/>
        <v/>
      </c>
      <c r="G67" s="8"/>
      <c r="H67" s="8"/>
      <c r="I67" s="8"/>
    </row>
    <row r="68" spans="1:9" ht="19.5" customHeight="1" x14ac:dyDescent="0.25">
      <c r="A68" s="11"/>
      <c r="B68" s="11"/>
      <c r="C68" s="12" t="str">
        <f t="shared" si="4"/>
        <v/>
      </c>
      <c r="D68" s="12" t="str">
        <f t="shared" si="5"/>
        <v/>
      </c>
      <c r="E68" s="12" t="str">
        <f t="shared" si="6"/>
        <v/>
      </c>
      <c r="F68" s="12" t="str">
        <f t="shared" si="7"/>
        <v/>
      </c>
      <c r="G68" s="8"/>
      <c r="H68" s="8"/>
      <c r="I68" s="8"/>
    </row>
    <row r="69" spans="1:9" ht="19.5" customHeight="1" x14ac:dyDescent="0.25">
      <c r="A69" s="11"/>
      <c r="B69" s="11"/>
      <c r="C69" s="12" t="str">
        <f t="shared" ref="C69:C100" si="8">IF(OR(A69="",B69=""),"",A69*B69)</f>
        <v/>
      </c>
      <c r="D69" s="12" t="str">
        <f t="shared" ref="D69:D104" si="9">IF(A69="","",A69^2)</f>
        <v/>
      </c>
      <c r="E69" s="12" t="str">
        <f t="shared" ref="E69:E104" si="10">IF(A69="","",$I$10*A69+$I$11)</f>
        <v/>
      </c>
      <c r="F69" s="12" t="str">
        <f t="shared" ref="F69:F100" si="11">IF(OR(B69="",E69=""),"",B69-E69)</f>
        <v/>
      </c>
      <c r="G69" s="8"/>
      <c r="H69" s="8"/>
      <c r="I69" s="8"/>
    </row>
    <row r="70" spans="1:9" ht="19.5" customHeight="1" x14ac:dyDescent="0.25">
      <c r="A70" s="11"/>
      <c r="B70" s="11"/>
      <c r="C70" s="12" t="str">
        <f t="shared" si="8"/>
        <v/>
      </c>
      <c r="D70" s="12" t="str">
        <f t="shared" si="9"/>
        <v/>
      </c>
      <c r="E70" s="12" t="str">
        <f t="shared" si="10"/>
        <v/>
      </c>
      <c r="F70" s="12" t="str">
        <f t="shared" si="11"/>
        <v/>
      </c>
      <c r="G70" s="8"/>
      <c r="H70" s="8"/>
      <c r="I70" s="8"/>
    </row>
    <row r="71" spans="1:9" ht="19.5" customHeight="1" x14ac:dyDescent="0.25">
      <c r="A71" s="11"/>
      <c r="B71" s="11"/>
      <c r="C71" s="12" t="str">
        <f t="shared" si="8"/>
        <v/>
      </c>
      <c r="D71" s="12" t="str">
        <f t="shared" si="9"/>
        <v/>
      </c>
      <c r="E71" s="12" t="str">
        <f t="shared" si="10"/>
        <v/>
      </c>
      <c r="F71" s="12" t="str">
        <f t="shared" si="11"/>
        <v/>
      </c>
      <c r="G71" s="8"/>
      <c r="H71" s="8"/>
      <c r="I71" s="8"/>
    </row>
    <row r="72" spans="1:9" ht="19.5" customHeight="1" x14ac:dyDescent="0.25">
      <c r="A72" s="11"/>
      <c r="B72" s="11"/>
      <c r="C72" s="12" t="str">
        <f t="shared" si="8"/>
        <v/>
      </c>
      <c r="D72" s="12" t="str">
        <f t="shared" si="9"/>
        <v/>
      </c>
      <c r="E72" s="12" t="str">
        <f t="shared" si="10"/>
        <v/>
      </c>
      <c r="F72" s="12" t="str">
        <f t="shared" si="11"/>
        <v/>
      </c>
      <c r="G72" s="8"/>
      <c r="H72" s="8"/>
      <c r="I72" s="8"/>
    </row>
    <row r="73" spans="1:9" ht="19.5" customHeight="1" x14ac:dyDescent="0.25">
      <c r="A73" s="11"/>
      <c r="B73" s="11"/>
      <c r="C73" s="12" t="str">
        <f t="shared" si="8"/>
        <v/>
      </c>
      <c r="D73" s="12" t="str">
        <f t="shared" si="9"/>
        <v/>
      </c>
      <c r="E73" s="12" t="str">
        <f t="shared" si="10"/>
        <v/>
      </c>
      <c r="F73" s="12" t="str">
        <f t="shared" si="11"/>
        <v/>
      </c>
      <c r="G73" s="8"/>
      <c r="H73" s="8"/>
      <c r="I73" s="8"/>
    </row>
    <row r="74" spans="1:9" ht="19.5" customHeight="1" x14ac:dyDescent="0.25">
      <c r="A74" s="11"/>
      <c r="B74" s="11"/>
      <c r="C74" s="12" t="str">
        <f t="shared" si="8"/>
        <v/>
      </c>
      <c r="D74" s="12" t="str">
        <f t="shared" si="9"/>
        <v/>
      </c>
      <c r="E74" s="12" t="str">
        <f t="shared" si="10"/>
        <v/>
      </c>
      <c r="F74" s="12" t="str">
        <f t="shared" si="11"/>
        <v/>
      </c>
      <c r="G74" s="8"/>
      <c r="H74" s="8"/>
      <c r="I74" s="8"/>
    </row>
    <row r="75" spans="1:9" ht="19.5" customHeight="1" x14ac:dyDescent="0.25">
      <c r="A75" s="11"/>
      <c r="B75" s="11"/>
      <c r="C75" s="12" t="str">
        <f t="shared" si="8"/>
        <v/>
      </c>
      <c r="D75" s="12" t="str">
        <f t="shared" si="9"/>
        <v/>
      </c>
      <c r="E75" s="12" t="str">
        <f t="shared" si="10"/>
        <v/>
      </c>
      <c r="F75" s="12" t="str">
        <f t="shared" si="11"/>
        <v/>
      </c>
      <c r="G75" s="8"/>
      <c r="H75" s="8"/>
      <c r="I75" s="8"/>
    </row>
    <row r="76" spans="1:9" ht="19.5" customHeight="1" x14ac:dyDescent="0.25">
      <c r="A76" s="11"/>
      <c r="B76" s="11"/>
      <c r="C76" s="12" t="str">
        <f t="shared" si="8"/>
        <v/>
      </c>
      <c r="D76" s="12" t="str">
        <f t="shared" si="9"/>
        <v/>
      </c>
      <c r="E76" s="12" t="str">
        <f t="shared" si="10"/>
        <v/>
      </c>
      <c r="F76" s="12" t="str">
        <f t="shared" si="11"/>
        <v/>
      </c>
      <c r="G76" s="8"/>
      <c r="H76" s="8"/>
      <c r="I76" s="8"/>
    </row>
    <row r="77" spans="1:9" ht="19.5" customHeight="1" x14ac:dyDescent="0.25">
      <c r="A77" s="11"/>
      <c r="B77" s="11"/>
      <c r="C77" s="12" t="str">
        <f t="shared" si="8"/>
        <v/>
      </c>
      <c r="D77" s="12" t="str">
        <f t="shared" si="9"/>
        <v/>
      </c>
      <c r="E77" s="12" t="str">
        <f t="shared" si="10"/>
        <v/>
      </c>
      <c r="F77" s="12" t="str">
        <f t="shared" si="11"/>
        <v/>
      </c>
      <c r="G77" s="8"/>
      <c r="H77" s="8"/>
      <c r="I77" s="8"/>
    </row>
    <row r="78" spans="1:9" ht="19.5" customHeight="1" x14ac:dyDescent="0.25">
      <c r="A78" s="11"/>
      <c r="B78" s="11"/>
      <c r="C78" s="12" t="str">
        <f t="shared" si="8"/>
        <v/>
      </c>
      <c r="D78" s="12" t="str">
        <f t="shared" si="9"/>
        <v/>
      </c>
      <c r="E78" s="12" t="str">
        <f t="shared" si="10"/>
        <v/>
      </c>
      <c r="F78" s="12" t="str">
        <f t="shared" si="11"/>
        <v/>
      </c>
      <c r="G78" s="8"/>
      <c r="H78" s="8"/>
      <c r="I78" s="8"/>
    </row>
    <row r="79" spans="1:9" ht="19.5" customHeight="1" x14ac:dyDescent="0.25">
      <c r="A79" s="11"/>
      <c r="B79" s="11"/>
      <c r="C79" s="12" t="str">
        <f t="shared" si="8"/>
        <v/>
      </c>
      <c r="D79" s="12" t="str">
        <f t="shared" si="9"/>
        <v/>
      </c>
      <c r="E79" s="12" t="str">
        <f t="shared" si="10"/>
        <v/>
      </c>
      <c r="F79" s="12" t="str">
        <f t="shared" si="11"/>
        <v/>
      </c>
      <c r="G79" s="8"/>
      <c r="H79" s="8"/>
      <c r="I79" s="8"/>
    </row>
    <row r="80" spans="1:9" ht="19.5" customHeight="1" x14ac:dyDescent="0.25">
      <c r="A80" s="11"/>
      <c r="B80" s="11"/>
      <c r="C80" s="12" t="str">
        <f t="shared" si="8"/>
        <v/>
      </c>
      <c r="D80" s="12" t="str">
        <f t="shared" si="9"/>
        <v/>
      </c>
      <c r="E80" s="12" t="str">
        <f t="shared" si="10"/>
        <v/>
      </c>
      <c r="F80" s="12" t="str">
        <f t="shared" si="11"/>
        <v/>
      </c>
      <c r="G80" s="8"/>
      <c r="H80" s="8"/>
      <c r="I80" s="8"/>
    </row>
    <row r="81" spans="1:9" ht="19.5" customHeight="1" x14ac:dyDescent="0.25">
      <c r="A81" s="11"/>
      <c r="B81" s="11"/>
      <c r="C81" s="12" t="str">
        <f t="shared" si="8"/>
        <v/>
      </c>
      <c r="D81" s="12" t="str">
        <f t="shared" si="9"/>
        <v/>
      </c>
      <c r="E81" s="12" t="str">
        <f t="shared" si="10"/>
        <v/>
      </c>
      <c r="F81" s="12" t="str">
        <f t="shared" si="11"/>
        <v/>
      </c>
      <c r="G81" s="8"/>
      <c r="H81" s="8"/>
      <c r="I81" s="8"/>
    </row>
    <row r="82" spans="1:9" ht="19.5" customHeight="1" x14ac:dyDescent="0.25">
      <c r="A82" s="11"/>
      <c r="B82" s="11"/>
      <c r="C82" s="12" t="str">
        <f t="shared" si="8"/>
        <v/>
      </c>
      <c r="D82" s="12" t="str">
        <f t="shared" si="9"/>
        <v/>
      </c>
      <c r="E82" s="12" t="str">
        <f t="shared" si="10"/>
        <v/>
      </c>
      <c r="F82" s="12" t="str">
        <f t="shared" si="11"/>
        <v/>
      </c>
      <c r="G82" s="8"/>
      <c r="H82" s="8"/>
      <c r="I82" s="8"/>
    </row>
    <row r="83" spans="1:9" ht="19.5" customHeight="1" x14ac:dyDescent="0.25">
      <c r="A83" s="11"/>
      <c r="B83" s="11"/>
      <c r="C83" s="12" t="str">
        <f t="shared" si="8"/>
        <v/>
      </c>
      <c r="D83" s="12" t="str">
        <f t="shared" si="9"/>
        <v/>
      </c>
      <c r="E83" s="12" t="str">
        <f t="shared" si="10"/>
        <v/>
      </c>
      <c r="F83" s="12" t="str">
        <f t="shared" si="11"/>
        <v/>
      </c>
      <c r="G83" s="8"/>
      <c r="H83" s="8"/>
      <c r="I83" s="8"/>
    </row>
    <row r="84" spans="1:9" ht="19.5" customHeight="1" x14ac:dyDescent="0.25">
      <c r="A84" s="11"/>
      <c r="B84" s="11"/>
      <c r="C84" s="12" t="str">
        <f t="shared" si="8"/>
        <v/>
      </c>
      <c r="D84" s="12" t="str">
        <f t="shared" si="9"/>
        <v/>
      </c>
      <c r="E84" s="12" t="str">
        <f t="shared" si="10"/>
        <v/>
      </c>
      <c r="F84" s="12" t="str">
        <f t="shared" si="11"/>
        <v/>
      </c>
      <c r="G84" s="8"/>
      <c r="H84" s="8"/>
      <c r="I84" s="8"/>
    </row>
    <row r="85" spans="1:9" ht="19.5" customHeight="1" x14ac:dyDescent="0.25">
      <c r="A85" s="11"/>
      <c r="B85" s="11"/>
      <c r="C85" s="12" t="str">
        <f t="shared" si="8"/>
        <v/>
      </c>
      <c r="D85" s="12" t="str">
        <f t="shared" si="9"/>
        <v/>
      </c>
      <c r="E85" s="12" t="str">
        <f t="shared" si="10"/>
        <v/>
      </c>
      <c r="F85" s="12" t="str">
        <f t="shared" si="11"/>
        <v/>
      </c>
      <c r="G85" s="8"/>
      <c r="H85" s="8"/>
      <c r="I85" s="8"/>
    </row>
    <row r="86" spans="1:9" ht="19.5" customHeight="1" x14ac:dyDescent="0.25">
      <c r="A86" s="11"/>
      <c r="B86" s="11"/>
      <c r="C86" s="12" t="str">
        <f t="shared" si="8"/>
        <v/>
      </c>
      <c r="D86" s="12" t="str">
        <f t="shared" si="9"/>
        <v/>
      </c>
      <c r="E86" s="12" t="str">
        <f t="shared" si="10"/>
        <v/>
      </c>
      <c r="F86" s="12" t="str">
        <f t="shared" si="11"/>
        <v/>
      </c>
      <c r="G86" s="8"/>
      <c r="H86" s="8"/>
      <c r="I86" s="8"/>
    </row>
    <row r="87" spans="1:9" ht="19.5" customHeight="1" x14ac:dyDescent="0.25">
      <c r="A87" s="11"/>
      <c r="B87" s="11"/>
      <c r="C87" s="12" t="str">
        <f t="shared" si="8"/>
        <v/>
      </c>
      <c r="D87" s="12" t="str">
        <f t="shared" si="9"/>
        <v/>
      </c>
      <c r="E87" s="12" t="str">
        <f t="shared" si="10"/>
        <v/>
      </c>
      <c r="F87" s="12" t="str">
        <f t="shared" si="11"/>
        <v/>
      </c>
      <c r="G87" s="8"/>
      <c r="H87" s="8"/>
      <c r="I87" s="8"/>
    </row>
    <row r="88" spans="1:9" ht="19.5" customHeight="1" x14ac:dyDescent="0.25">
      <c r="A88" s="11"/>
      <c r="B88" s="11"/>
      <c r="C88" s="12" t="str">
        <f t="shared" si="8"/>
        <v/>
      </c>
      <c r="D88" s="12" t="str">
        <f t="shared" si="9"/>
        <v/>
      </c>
      <c r="E88" s="12" t="str">
        <f t="shared" si="10"/>
        <v/>
      </c>
      <c r="F88" s="12" t="str">
        <f t="shared" si="11"/>
        <v/>
      </c>
      <c r="G88" s="8"/>
      <c r="H88" s="8"/>
      <c r="I88" s="8"/>
    </row>
    <row r="89" spans="1:9" ht="19.5" customHeight="1" x14ac:dyDescent="0.25">
      <c r="A89" s="11"/>
      <c r="B89" s="11"/>
      <c r="C89" s="12" t="str">
        <f t="shared" si="8"/>
        <v/>
      </c>
      <c r="D89" s="12" t="str">
        <f t="shared" si="9"/>
        <v/>
      </c>
      <c r="E89" s="12" t="str">
        <f t="shared" si="10"/>
        <v/>
      </c>
      <c r="F89" s="12" t="str">
        <f t="shared" si="11"/>
        <v/>
      </c>
      <c r="G89" s="8"/>
      <c r="H89" s="8"/>
      <c r="I89" s="8"/>
    </row>
    <row r="90" spans="1:9" ht="19.5" customHeight="1" x14ac:dyDescent="0.25">
      <c r="A90" s="11"/>
      <c r="B90" s="11"/>
      <c r="C90" s="12" t="str">
        <f t="shared" si="8"/>
        <v/>
      </c>
      <c r="D90" s="12" t="str">
        <f t="shared" si="9"/>
        <v/>
      </c>
      <c r="E90" s="12" t="str">
        <f t="shared" si="10"/>
        <v/>
      </c>
      <c r="F90" s="12" t="str">
        <f t="shared" si="11"/>
        <v/>
      </c>
      <c r="G90" s="8"/>
      <c r="H90" s="8"/>
      <c r="I90" s="8"/>
    </row>
    <row r="91" spans="1:9" ht="19.5" customHeight="1" x14ac:dyDescent="0.25">
      <c r="A91" s="11"/>
      <c r="B91" s="11"/>
      <c r="C91" s="12" t="str">
        <f t="shared" si="8"/>
        <v/>
      </c>
      <c r="D91" s="12" t="str">
        <f t="shared" si="9"/>
        <v/>
      </c>
      <c r="E91" s="12" t="str">
        <f t="shared" si="10"/>
        <v/>
      </c>
      <c r="F91" s="12" t="str">
        <f t="shared" si="11"/>
        <v/>
      </c>
      <c r="G91" s="8"/>
      <c r="H91" s="8"/>
      <c r="I91" s="8"/>
    </row>
    <row r="92" spans="1:9" ht="19.5" customHeight="1" x14ac:dyDescent="0.25">
      <c r="A92" s="11"/>
      <c r="B92" s="11"/>
      <c r="C92" s="12" t="str">
        <f t="shared" si="8"/>
        <v/>
      </c>
      <c r="D92" s="12" t="str">
        <f t="shared" si="9"/>
        <v/>
      </c>
      <c r="E92" s="12" t="str">
        <f t="shared" si="10"/>
        <v/>
      </c>
      <c r="F92" s="12" t="str">
        <f t="shared" si="11"/>
        <v/>
      </c>
      <c r="G92" s="8"/>
      <c r="H92" s="8"/>
      <c r="I92" s="8"/>
    </row>
    <row r="93" spans="1:9" ht="19.5" customHeight="1" x14ac:dyDescent="0.25">
      <c r="A93" s="11"/>
      <c r="B93" s="11"/>
      <c r="C93" s="12" t="str">
        <f t="shared" si="8"/>
        <v/>
      </c>
      <c r="D93" s="12" t="str">
        <f t="shared" si="9"/>
        <v/>
      </c>
      <c r="E93" s="12" t="str">
        <f t="shared" si="10"/>
        <v/>
      </c>
      <c r="F93" s="12" t="str">
        <f t="shared" si="11"/>
        <v/>
      </c>
      <c r="G93" s="8"/>
      <c r="H93" s="8"/>
      <c r="I93" s="8"/>
    </row>
    <row r="94" spans="1:9" ht="19.5" customHeight="1" x14ac:dyDescent="0.25">
      <c r="A94" s="11"/>
      <c r="B94" s="11"/>
      <c r="C94" s="12" t="str">
        <f t="shared" si="8"/>
        <v/>
      </c>
      <c r="D94" s="12" t="str">
        <f t="shared" si="9"/>
        <v/>
      </c>
      <c r="E94" s="12" t="str">
        <f t="shared" si="10"/>
        <v/>
      </c>
      <c r="F94" s="12" t="str">
        <f t="shared" si="11"/>
        <v/>
      </c>
      <c r="G94" s="8"/>
      <c r="H94" s="8"/>
      <c r="I94" s="8"/>
    </row>
    <row r="95" spans="1:9" ht="19.5" customHeight="1" x14ac:dyDescent="0.25">
      <c r="A95" s="11"/>
      <c r="B95" s="11"/>
      <c r="C95" s="12" t="str">
        <f t="shared" si="8"/>
        <v/>
      </c>
      <c r="D95" s="12" t="str">
        <f t="shared" si="9"/>
        <v/>
      </c>
      <c r="E95" s="12" t="str">
        <f t="shared" si="10"/>
        <v/>
      </c>
      <c r="F95" s="12" t="str">
        <f t="shared" si="11"/>
        <v/>
      </c>
      <c r="G95" s="8"/>
      <c r="H95" s="8"/>
      <c r="I95" s="8"/>
    </row>
    <row r="96" spans="1:9" ht="19.5" customHeight="1" x14ac:dyDescent="0.25">
      <c r="A96" s="11"/>
      <c r="B96" s="11"/>
      <c r="C96" s="12" t="str">
        <f t="shared" si="8"/>
        <v/>
      </c>
      <c r="D96" s="12" t="str">
        <f t="shared" si="9"/>
        <v/>
      </c>
      <c r="E96" s="12" t="str">
        <f t="shared" si="10"/>
        <v/>
      </c>
      <c r="F96" s="12" t="str">
        <f t="shared" si="11"/>
        <v/>
      </c>
      <c r="G96" s="8"/>
      <c r="H96" s="8"/>
      <c r="I96" s="8"/>
    </row>
    <row r="97" spans="1:9" ht="19.5" customHeight="1" x14ac:dyDescent="0.25">
      <c r="A97" s="11"/>
      <c r="B97" s="11"/>
      <c r="C97" s="12" t="str">
        <f t="shared" si="8"/>
        <v/>
      </c>
      <c r="D97" s="12" t="str">
        <f t="shared" si="9"/>
        <v/>
      </c>
      <c r="E97" s="12" t="str">
        <f t="shared" si="10"/>
        <v/>
      </c>
      <c r="F97" s="12" t="str">
        <f t="shared" si="11"/>
        <v/>
      </c>
      <c r="G97" s="8"/>
      <c r="H97" s="8"/>
      <c r="I97" s="8"/>
    </row>
    <row r="98" spans="1:9" ht="19.5" customHeight="1" x14ac:dyDescent="0.25">
      <c r="A98" s="11"/>
      <c r="B98" s="11"/>
      <c r="C98" s="12" t="str">
        <f t="shared" si="8"/>
        <v/>
      </c>
      <c r="D98" s="12" t="str">
        <f t="shared" si="9"/>
        <v/>
      </c>
      <c r="E98" s="12" t="str">
        <f t="shared" si="10"/>
        <v/>
      </c>
      <c r="F98" s="12" t="str">
        <f t="shared" si="11"/>
        <v/>
      </c>
      <c r="G98" s="8"/>
      <c r="H98" s="8"/>
      <c r="I98" s="8"/>
    </row>
    <row r="99" spans="1:9" ht="19.5" customHeight="1" x14ac:dyDescent="0.25">
      <c r="A99" s="11"/>
      <c r="B99" s="11"/>
      <c r="C99" s="12" t="str">
        <f t="shared" si="8"/>
        <v/>
      </c>
      <c r="D99" s="12" t="str">
        <f t="shared" si="9"/>
        <v/>
      </c>
      <c r="E99" s="12" t="str">
        <f t="shared" si="10"/>
        <v/>
      </c>
      <c r="F99" s="12" t="str">
        <f t="shared" si="11"/>
        <v/>
      </c>
      <c r="G99" s="8"/>
      <c r="H99" s="8"/>
      <c r="I99" s="8"/>
    </row>
    <row r="100" spans="1:9" ht="19.5" customHeight="1" x14ac:dyDescent="0.25">
      <c r="A100" s="11"/>
      <c r="B100" s="11"/>
      <c r="C100" s="12" t="str">
        <f t="shared" si="8"/>
        <v/>
      </c>
      <c r="D100" s="12" t="str">
        <f t="shared" si="9"/>
        <v/>
      </c>
      <c r="E100" s="12" t="str">
        <f t="shared" si="10"/>
        <v/>
      </c>
      <c r="F100" s="12" t="str">
        <f t="shared" si="11"/>
        <v/>
      </c>
      <c r="G100" s="8"/>
      <c r="H100" s="8"/>
      <c r="I100" s="8"/>
    </row>
    <row r="101" spans="1:9" ht="19.5" customHeight="1" x14ac:dyDescent="0.25">
      <c r="A101" s="11"/>
      <c r="B101" s="11"/>
      <c r="C101" s="12" t="str">
        <f t="shared" ref="C101:C132" si="12">IF(OR(A101="",B101=""),"",A101*B101)</f>
        <v/>
      </c>
      <c r="D101" s="12" t="str">
        <f t="shared" si="9"/>
        <v/>
      </c>
      <c r="E101" s="12" t="str">
        <f t="shared" si="10"/>
        <v/>
      </c>
      <c r="F101" s="12" t="str">
        <f t="shared" ref="F101:F132" si="13">IF(OR(B101="",E101=""),"",B101-E101)</f>
        <v/>
      </c>
      <c r="G101" s="8"/>
      <c r="H101" s="8"/>
      <c r="I101" s="8"/>
    </row>
    <row r="102" spans="1:9" ht="19.5" customHeight="1" x14ac:dyDescent="0.25">
      <c r="A102" s="11"/>
      <c r="B102" s="11"/>
      <c r="C102" s="12" t="str">
        <f t="shared" si="12"/>
        <v/>
      </c>
      <c r="D102" s="12" t="str">
        <f t="shared" si="9"/>
        <v/>
      </c>
      <c r="E102" s="12" t="str">
        <f t="shared" si="10"/>
        <v/>
      </c>
      <c r="F102" s="12" t="str">
        <f t="shared" si="13"/>
        <v/>
      </c>
      <c r="G102" s="8"/>
      <c r="H102" s="8"/>
      <c r="I102" s="8"/>
    </row>
    <row r="103" spans="1:9" ht="19.5" customHeight="1" x14ac:dyDescent="0.25">
      <c r="A103" s="11"/>
      <c r="B103" s="11"/>
      <c r="C103" s="12" t="str">
        <f t="shared" si="12"/>
        <v/>
      </c>
      <c r="D103" s="12" t="str">
        <f t="shared" si="9"/>
        <v/>
      </c>
      <c r="E103" s="12" t="str">
        <f t="shared" si="10"/>
        <v/>
      </c>
      <c r="F103" s="12" t="str">
        <f t="shared" si="13"/>
        <v/>
      </c>
      <c r="G103" s="8"/>
      <c r="H103" s="8"/>
      <c r="I103" s="8"/>
    </row>
    <row r="104" spans="1:9" ht="19.5" customHeight="1" x14ac:dyDescent="0.25">
      <c r="A104" s="11"/>
      <c r="B104" s="11"/>
      <c r="C104" s="12" t="str">
        <f t="shared" si="12"/>
        <v/>
      </c>
      <c r="D104" s="12" t="str">
        <f t="shared" si="9"/>
        <v/>
      </c>
      <c r="E104" s="12" t="str">
        <f t="shared" si="10"/>
        <v/>
      </c>
      <c r="F104" s="12" t="str">
        <f t="shared" si="13"/>
        <v/>
      </c>
      <c r="G104" s="8"/>
      <c r="H104" s="8"/>
      <c r="I104" s="8"/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L1"/>
    <mergeCell ref="A2:L2"/>
    <mergeCell ref="H18:I21"/>
  </mergeCells>
  <dataValidations count="1">
    <dataValidation type="decimal" allowBlank="1" error="Solo se permiten valores numéricos." prompt="Ingresa un número." sqref="A5:B104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9"/>
  <sheetViews>
    <sheetView showGridLines="0" tabSelected="1" zoomScaleNormal="100" workbookViewId="0">
      <pane ySplit="4" topLeftCell="A5" activePane="bottomLeft" state="frozen"/>
      <selection pane="bottomLeft" activeCell="K22" sqref="K22:P25"/>
    </sheetView>
  </sheetViews>
  <sheetFormatPr defaultColWidth="8.7109375" defaultRowHeight="15" customHeight="1" x14ac:dyDescent="0.25"/>
  <cols>
    <col min="1" max="7" width="12" customWidth="1"/>
    <col min="8" max="8" width="16" customWidth="1"/>
    <col min="9" max="9" width="14" customWidth="1"/>
    <col min="10" max="17" width="13" customWidth="1"/>
  </cols>
  <sheetData>
    <row r="1" spans="1:18" ht="25.5" customHeight="1" x14ac:dyDescent="0.2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0" customHeight="1" x14ac:dyDescent="0.25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9.5" customHeight="1" x14ac:dyDescent="0.25"/>
    <row r="4" spans="1:18" ht="19.5" customHeight="1" x14ac:dyDescent="0.25">
      <c r="A4" s="9" t="s">
        <v>17</v>
      </c>
      <c r="B4" s="9" t="s">
        <v>18</v>
      </c>
      <c r="C4" s="9" t="s">
        <v>20</v>
      </c>
      <c r="D4" s="9" t="s">
        <v>36</v>
      </c>
      <c r="E4" s="9" t="s">
        <v>37</v>
      </c>
      <c r="F4" s="9" t="s">
        <v>19</v>
      </c>
      <c r="G4" s="9" t="s">
        <v>38</v>
      </c>
      <c r="H4" s="9" t="s">
        <v>21</v>
      </c>
      <c r="I4" s="9" t="s">
        <v>22</v>
      </c>
      <c r="K4" s="5" t="s">
        <v>23</v>
      </c>
      <c r="L4" s="10">
        <f>COUNT(A5:A104)</f>
        <v>5</v>
      </c>
    </row>
    <row r="5" spans="1:18" ht="19.5" customHeight="1" x14ac:dyDescent="0.25">
      <c r="A5" s="11">
        <v>1</v>
      </c>
      <c r="B5" s="11">
        <v>2</v>
      </c>
      <c r="C5" s="12">
        <f t="shared" ref="C5:C36" si="0">IF(A5="","",A5^2)</f>
        <v>1</v>
      </c>
      <c r="D5" s="12">
        <f t="shared" ref="D5:D36" si="1">IF(A5="","",A5^3)</f>
        <v>1</v>
      </c>
      <c r="E5" s="12">
        <f t="shared" ref="E5:E36" si="2">IF(A5="","",A5^4)</f>
        <v>1</v>
      </c>
      <c r="F5" s="12">
        <f t="shared" ref="F5:F36" si="3">IF(OR(A5="",B5=""),"",A5*B5)</f>
        <v>2</v>
      </c>
      <c r="G5" s="12">
        <f t="shared" ref="G5:G36" si="4">IF(OR(C5="",B5=""),"",C5*B5)</f>
        <v>2</v>
      </c>
      <c r="H5" s="12">
        <f t="shared" ref="H5:H36" si="5">IF(A5="","",$P$13*A5^2+$P$14*A5+$P$15)</f>
        <v>2.1714285714284998</v>
      </c>
      <c r="I5" s="12">
        <f t="shared" ref="I5:I36" si="6">IF(OR(B5="",H5=""),"",B5-H5)</f>
        <v>-0.17142857142849977</v>
      </c>
      <c r="K5" s="5" t="s">
        <v>24</v>
      </c>
      <c r="L5" s="10">
        <f>SUM(A5:A104)</f>
        <v>15</v>
      </c>
    </row>
    <row r="6" spans="1:18" ht="19.5" customHeight="1" x14ac:dyDescent="0.25">
      <c r="A6" s="11">
        <v>2</v>
      </c>
      <c r="B6" s="11">
        <v>4</v>
      </c>
      <c r="C6" s="12">
        <f t="shared" si="0"/>
        <v>4</v>
      </c>
      <c r="D6" s="12">
        <f t="shared" si="1"/>
        <v>8</v>
      </c>
      <c r="E6" s="12">
        <f t="shared" si="2"/>
        <v>16</v>
      </c>
      <c r="F6" s="12">
        <f t="shared" si="3"/>
        <v>8</v>
      </c>
      <c r="G6" s="12">
        <f t="shared" si="4"/>
        <v>16</v>
      </c>
      <c r="H6" s="12">
        <f t="shared" si="5"/>
        <v>3.5142857142856201</v>
      </c>
      <c r="I6" s="12">
        <f t="shared" si="6"/>
        <v>0.48571428571437991</v>
      </c>
      <c r="K6" s="5" t="s">
        <v>27</v>
      </c>
      <c r="L6" s="10">
        <f>SUM(C5:C104)</f>
        <v>55</v>
      </c>
    </row>
    <row r="7" spans="1:18" ht="19.5" customHeight="1" x14ac:dyDescent="0.25">
      <c r="A7" s="11">
        <v>3</v>
      </c>
      <c r="B7" s="11">
        <v>5</v>
      </c>
      <c r="C7" s="12">
        <f t="shared" si="0"/>
        <v>9</v>
      </c>
      <c r="D7" s="12">
        <f t="shared" si="1"/>
        <v>27</v>
      </c>
      <c r="E7" s="12">
        <f t="shared" si="2"/>
        <v>81</v>
      </c>
      <c r="F7" s="12">
        <f t="shared" si="3"/>
        <v>15</v>
      </c>
      <c r="G7" s="12">
        <f t="shared" si="4"/>
        <v>45</v>
      </c>
      <c r="H7" s="12">
        <f t="shared" si="5"/>
        <v>5.4285714285713098</v>
      </c>
      <c r="I7" s="12">
        <f t="shared" si="6"/>
        <v>-0.42857142857130981</v>
      </c>
      <c r="K7" s="5" t="s">
        <v>39</v>
      </c>
      <c r="L7" s="10">
        <f>SUM(D5:D104)</f>
        <v>225</v>
      </c>
    </row>
    <row r="8" spans="1:18" ht="19.5" customHeight="1" x14ac:dyDescent="0.25">
      <c r="A8" s="11">
        <v>4</v>
      </c>
      <c r="B8" s="11">
        <v>8</v>
      </c>
      <c r="C8" s="12">
        <f t="shared" si="0"/>
        <v>16</v>
      </c>
      <c r="D8" s="12">
        <f t="shared" si="1"/>
        <v>64</v>
      </c>
      <c r="E8" s="12">
        <f t="shared" si="2"/>
        <v>256</v>
      </c>
      <c r="F8" s="12">
        <f t="shared" si="3"/>
        <v>32</v>
      </c>
      <c r="G8" s="12">
        <f t="shared" si="4"/>
        <v>128</v>
      </c>
      <c r="H8" s="12">
        <f t="shared" si="5"/>
        <v>7.9142857142855689</v>
      </c>
      <c r="I8" s="12">
        <f t="shared" si="6"/>
        <v>8.5714285714431071E-2</v>
      </c>
      <c r="K8" s="5" t="s">
        <v>40</v>
      </c>
      <c r="L8" s="10">
        <f>SUM(E5:E104)</f>
        <v>979</v>
      </c>
    </row>
    <row r="9" spans="1:18" ht="19.5" customHeight="1" x14ac:dyDescent="0.25">
      <c r="A9" s="11">
        <v>5</v>
      </c>
      <c r="B9" s="11">
        <v>11</v>
      </c>
      <c r="C9" s="12">
        <f t="shared" si="0"/>
        <v>25</v>
      </c>
      <c r="D9" s="12">
        <f t="shared" si="1"/>
        <v>125</v>
      </c>
      <c r="E9" s="12">
        <f t="shared" si="2"/>
        <v>625</v>
      </c>
      <c r="F9" s="12">
        <f t="shared" si="3"/>
        <v>55</v>
      </c>
      <c r="G9" s="12">
        <f t="shared" si="4"/>
        <v>275</v>
      </c>
      <c r="H9" s="12">
        <f t="shared" si="5"/>
        <v>10.971428571428397</v>
      </c>
      <c r="I9" s="12">
        <f t="shared" si="6"/>
        <v>2.8571428571602553E-2</v>
      </c>
      <c r="K9" s="5" t="s">
        <v>25</v>
      </c>
      <c r="L9" s="10">
        <f>SUM(B5:B104)</f>
        <v>30</v>
      </c>
    </row>
    <row r="10" spans="1:18" ht="19.5" customHeight="1" x14ac:dyDescent="0.25">
      <c r="A10" s="11"/>
      <c r="B10" s="11"/>
      <c r="C10" s="12" t="str">
        <f t="shared" si="0"/>
        <v/>
      </c>
      <c r="D10" s="12" t="str">
        <f t="shared" si="1"/>
        <v/>
      </c>
      <c r="E10" s="12" t="str">
        <f t="shared" si="2"/>
        <v/>
      </c>
      <c r="F10" s="12" t="str">
        <f t="shared" si="3"/>
        <v/>
      </c>
      <c r="G10" s="12" t="str">
        <f t="shared" si="4"/>
        <v/>
      </c>
      <c r="H10" s="12" t="str">
        <f t="shared" si="5"/>
        <v/>
      </c>
      <c r="I10" s="12" t="str">
        <f t="shared" si="6"/>
        <v/>
      </c>
      <c r="K10" s="5" t="s">
        <v>26</v>
      </c>
      <c r="L10" s="10">
        <f>SUM(F5:F104)</f>
        <v>112</v>
      </c>
    </row>
    <row r="11" spans="1:18" ht="19.5" customHeight="1" x14ac:dyDescent="0.25">
      <c r="A11" s="11"/>
      <c r="B11" s="11"/>
      <c r="C11" s="12" t="str">
        <f t="shared" si="0"/>
        <v/>
      </c>
      <c r="D11" s="12" t="str">
        <f t="shared" si="1"/>
        <v/>
      </c>
      <c r="E11" s="12" t="str">
        <f t="shared" si="2"/>
        <v/>
      </c>
      <c r="F11" s="12" t="str">
        <f t="shared" si="3"/>
        <v/>
      </c>
      <c r="G11" s="12" t="str">
        <f t="shared" si="4"/>
        <v/>
      </c>
      <c r="H11" s="12" t="str">
        <f t="shared" si="5"/>
        <v/>
      </c>
      <c r="I11" s="12" t="str">
        <f t="shared" si="6"/>
        <v/>
      </c>
      <c r="K11" s="5" t="s">
        <v>41</v>
      </c>
      <c r="L11" s="10">
        <f>SUM(G5:G104)</f>
        <v>466</v>
      </c>
    </row>
    <row r="12" spans="1:18" ht="19.5" customHeight="1" x14ac:dyDescent="0.25">
      <c r="A12" s="11"/>
      <c r="B12" s="11"/>
      <c r="C12" s="12" t="str">
        <f t="shared" si="0"/>
        <v/>
      </c>
      <c r="D12" s="12" t="str">
        <f t="shared" si="1"/>
        <v/>
      </c>
      <c r="E12" s="12" t="str">
        <f t="shared" si="2"/>
        <v/>
      </c>
      <c r="F12" s="12" t="str">
        <f t="shared" si="3"/>
        <v/>
      </c>
      <c r="G12" s="12" t="str">
        <f t="shared" si="4"/>
        <v/>
      </c>
      <c r="H12" s="12" t="str">
        <f t="shared" si="5"/>
        <v/>
      </c>
      <c r="I12" s="12" t="str">
        <f t="shared" si="6"/>
        <v/>
      </c>
      <c r="K12" s="9" t="s">
        <v>42</v>
      </c>
      <c r="N12" s="9" t="s">
        <v>43</v>
      </c>
      <c r="P12" s="9" t="s">
        <v>44</v>
      </c>
    </row>
    <row r="13" spans="1:18" ht="19.5" customHeight="1" x14ac:dyDescent="0.25">
      <c r="A13" s="11"/>
      <c r="B13" s="11"/>
      <c r="C13" s="12" t="str">
        <f t="shared" si="0"/>
        <v/>
      </c>
      <c r="D13" s="12" t="str">
        <f t="shared" si="1"/>
        <v/>
      </c>
      <c r="E13" s="12" t="str">
        <f t="shared" si="2"/>
        <v/>
      </c>
      <c r="F13" s="12" t="str">
        <f t="shared" si="3"/>
        <v/>
      </c>
      <c r="G13" s="12" t="str">
        <f t="shared" si="4"/>
        <v/>
      </c>
      <c r="H13" s="12" t="str">
        <f t="shared" si="5"/>
        <v/>
      </c>
      <c r="I13" s="12" t="str">
        <f t="shared" si="6"/>
        <v/>
      </c>
      <c r="K13" s="10">
        <f>L6</f>
        <v>55</v>
      </c>
      <c r="L13" s="10">
        <f>L5</f>
        <v>15</v>
      </c>
      <c r="M13" s="10">
        <f>L4</f>
        <v>5</v>
      </c>
      <c r="N13" s="10">
        <f>L9</f>
        <v>30</v>
      </c>
      <c r="O13" s="5" t="s">
        <v>45</v>
      </c>
      <c r="P13" s="15">
        <f>IF(L4&gt;=3,IFERROR(INDEX(MMULT(MINVERSE(K13:M15),N13:N15),1,1),""),"")</f>
        <v>0.2857142857142847</v>
      </c>
    </row>
    <row r="14" spans="1:18" ht="19.5" customHeight="1" x14ac:dyDescent="0.25">
      <c r="A14" s="11"/>
      <c r="B14" s="11"/>
      <c r="C14" s="12" t="str">
        <f t="shared" si="0"/>
        <v/>
      </c>
      <c r="D14" s="12" t="str">
        <f t="shared" si="1"/>
        <v/>
      </c>
      <c r="E14" s="12" t="str">
        <f t="shared" si="2"/>
        <v/>
      </c>
      <c r="F14" s="12" t="str">
        <f t="shared" si="3"/>
        <v/>
      </c>
      <c r="G14" s="12" t="str">
        <f t="shared" si="4"/>
        <v/>
      </c>
      <c r="H14" s="12" t="str">
        <f t="shared" si="5"/>
        <v/>
      </c>
      <c r="I14" s="12" t="str">
        <f t="shared" si="6"/>
        <v/>
      </c>
      <c r="K14" s="10">
        <f>L7</f>
        <v>225</v>
      </c>
      <c r="L14" s="10">
        <f>L6</f>
        <v>55</v>
      </c>
      <c r="M14" s="10">
        <f>L5</f>
        <v>15</v>
      </c>
      <c r="N14" s="10">
        <f>L10</f>
        <v>112</v>
      </c>
      <c r="O14" s="5" t="s">
        <v>29</v>
      </c>
      <c r="P14" s="15">
        <f>IF(L4&gt;=3,IFERROR(INDEX(MMULT(MINVERSE(K13:M15),N13:N15),2,1),""),"")</f>
        <v>0.48571428571426623</v>
      </c>
    </row>
    <row r="15" spans="1:18" ht="19.5" customHeight="1" x14ac:dyDescent="0.25">
      <c r="A15" s="11"/>
      <c r="B15" s="11"/>
      <c r="C15" s="12" t="str">
        <f t="shared" si="0"/>
        <v/>
      </c>
      <c r="D15" s="12" t="str">
        <f t="shared" si="1"/>
        <v/>
      </c>
      <c r="E15" s="12" t="str">
        <f t="shared" si="2"/>
        <v/>
      </c>
      <c r="F15" s="12" t="str">
        <f t="shared" si="3"/>
        <v/>
      </c>
      <c r="G15" s="12" t="str">
        <f t="shared" si="4"/>
        <v/>
      </c>
      <c r="H15" s="12" t="str">
        <f t="shared" si="5"/>
        <v/>
      </c>
      <c r="I15" s="12" t="str">
        <f t="shared" si="6"/>
        <v/>
      </c>
      <c r="K15" s="10">
        <f>L8</f>
        <v>979</v>
      </c>
      <c r="L15" s="10">
        <f>L7</f>
        <v>225</v>
      </c>
      <c r="M15" s="10">
        <f>L6</f>
        <v>55</v>
      </c>
      <c r="N15" s="10">
        <f>L11</f>
        <v>466</v>
      </c>
      <c r="O15" s="5" t="s">
        <v>46</v>
      </c>
      <c r="P15" s="15">
        <f>IF(L4&gt;=3,IFERROR(INDEX(MMULT(MINVERSE(K13:M15),N13:N15),3,1),""),"")</f>
        <v>1.3999999999999488</v>
      </c>
    </row>
    <row r="16" spans="1:18" ht="19.5" customHeight="1" x14ac:dyDescent="0.25">
      <c r="A16" s="11"/>
      <c r="B16" s="11"/>
      <c r="C16" s="12" t="str">
        <f t="shared" si="0"/>
        <v/>
      </c>
      <c r="D16" s="12" t="str">
        <f t="shared" si="1"/>
        <v/>
      </c>
      <c r="E16" s="12" t="str">
        <f t="shared" si="2"/>
        <v/>
      </c>
      <c r="F16" s="12" t="str">
        <f t="shared" si="3"/>
        <v/>
      </c>
      <c r="G16" s="12" t="str">
        <f t="shared" si="4"/>
        <v/>
      </c>
      <c r="H16" s="12" t="str">
        <f t="shared" si="5"/>
        <v/>
      </c>
      <c r="I16" s="12" t="str">
        <f t="shared" si="6"/>
        <v/>
      </c>
    </row>
    <row r="17" spans="1:16" ht="19.5" customHeight="1" x14ac:dyDescent="0.25">
      <c r="A17" s="11"/>
      <c r="B17" s="11"/>
      <c r="C17" s="12" t="str">
        <f t="shared" si="0"/>
        <v/>
      </c>
      <c r="D17" s="12" t="str">
        <f t="shared" si="1"/>
        <v/>
      </c>
      <c r="E17" s="12" t="str">
        <f t="shared" si="2"/>
        <v/>
      </c>
      <c r="F17" s="12" t="str">
        <f t="shared" si="3"/>
        <v/>
      </c>
      <c r="G17" s="12" t="str">
        <f t="shared" si="4"/>
        <v/>
      </c>
      <c r="H17" s="12" t="str">
        <f t="shared" si="5"/>
        <v/>
      </c>
      <c r="I17" s="12" t="str">
        <f t="shared" si="6"/>
        <v/>
      </c>
      <c r="K17" s="5" t="s">
        <v>30</v>
      </c>
      <c r="L17" s="10">
        <f>SUMPRODUCT(I5:I104,I5:I104)</f>
        <v>0.45714285714285718</v>
      </c>
    </row>
    <row r="18" spans="1:16" ht="19.5" customHeight="1" x14ac:dyDescent="0.25">
      <c r="A18" s="11"/>
      <c r="B18" s="11"/>
      <c r="C18" s="12" t="str">
        <f t="shared" si="0"/>
        <v/>
      </c>
      <c r="D18" s="12" t="str">
        <f t="shared" si="1"/>
        <v/>
      </c>
      <c r="E18" s="12" t="str">
        <f t="shared" si="2"/>
        <v/>
      </c>
      <c r="F18" s="12" t="str">
        <f t="shared" si="3"/>
        <v/>
      </c>
      <c r="G18" s="12" t="str">
        <f t="shared" si="4"/>
        <v/>
      </c>
      <c r="H18" s="12" t="str">
        <f t="shared" si="5"/>
        <v/>
      </c>
      <c r="I18" s="12" t="str">
        <f t="shared" si="6"/>
        <v/>
      </c>
      <c r="K18" s="5" t="s">
        <v>31</v>
      </c>
      <c r="L18" s="10">
        <f>IF(COUNT(B5:B104)&gt;1,IFERROR(1-L17/DEVSQ(B5:B104),""),"")</f>
        <v>0.99085714285714288</v>
      </c>
    </row>
    <row r="19" spans="1:16" ht="19.5" customHeight="1" x14ac:dyDescent="0.25">
      <c r="A19" s="11"/>
      <c r="B19" s="11"/>
      <c r="C19" s="12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12" t="str">
        <f t="shared" si="4"/>
        <v/>
      </c>
      <c r="H19" s="12" t="str">
        <f t="shared" si="5"/>
        <v/>
      </c>
      <c r="I19" s="12" t="str">
        <f t="shared" si="6"/>
        <v/>
      </c>
    </row>
    <row r="20" spans="1:16" ht="19.5" customHeight="1" x14ac:dyDescent="0.25">
      <c r="A20" s="11"/>
      <c r="B20" s="11"/>
      <c r="C20" s="12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12" t="str">
        <f t="shared" si="4"/>
        <v/>
      </c>
      <c r="H20" s="12" t="str">
        <f t="shared" si="5"/>
        <v/>
      </c>
      <c r="I20" s="12" t="str">
        <f t="shared" si="6"/>
        <v/>
      </c>
      <c r="K20" s="5" t="s">
        <v>32</v>
      </c>
      <c r="M20" s="6" t="str">
        <f>IF(OR(P13="",P14="",P15=""),"","y = "&amp;TEXT(P13,"0.000000")&amp;"x² + "&amp;TEXT(P14,"0.000000")&amp;"x + "&amp;TEXT(P15,"0.000000"))</f>
        <v>y = 0.000.000x² + 0.000.000x + 0.000.001</v>
      </c>
    </row>
    <row r="21" spans="1:16" ht="19.5" customHeight="1" x14ac:dyDescent="0.25">
      <c r="A21" s="11"/>
      <c r="B21" s="11"/>
      <c r="C21" s="12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12" t="str">
        <f t="shared" si="4"/>
        <v/>
      </c>
      <c r="H21" s="12" t="str">
        <f t="shared" si="5"/>
        <v/>
      </c>
      <c r="I21" s="12" t="str">
        <f t="shared" si="6"/>
        <v/>
      </c>
    </row>
    <row r="22" spans="1:16" ht="24" customHeight="1" x14ac:dyDescent="0.25">
      <c r="A22" s="11"/>
      <c r="B22" s="11"/>
      <c r="C22" s="12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12" t="str">
        <f t="shared" si="4"/>
        <v/>
      </c>
      <c r="H22" s="12" t="str">
        <f t="shared" si="5"/>
        <v/>
      </c>
      <c r="I22" s="12" t="str">
        <f t="shared" si="6"/>
        <v/>
      </c>
      <c r="K22" s="1" t="s">
        <v>47</v>
      </c>
      <c r="L22" s="1"/>
      <c r="M22" s="1"/>
      <c r="N22" s="1"/>
      <c r="O22" s="1"/>
      <c r="P22" s="1"/>
    </row>
    <row r="23" spans="1:16" ht="24" customHeight="1" x14ac:dyDescent="0.25">
      <c r="A23" s="11"/>
      <c r="B23" s="11"/>
      <c r="C23" s="12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12" t="str">
        <f t="shared" si="4"/>
        <v/>
      </c>
      <c r="H23" s="12" t="str">
        <f t="shared" si="5"/>
        <v/>
      </c>
      <c r="I23" s="12" t="str">
        <f t="shared" si="6"/>
        <v/>
      </c>
      <c r="K23" s="1"/>
      <c r="L23" s="1"/>
      <c r="M23" s="1"/>
      <c r="N23" s="1"/>
      <c r="O23" s="1"/>
      <c r="P23" s="1"/>
    </row>
    <row r="24" spans="1:16" ht="24" customHeight="1" x14ac:dyDescent="0.25">
      <c r="A24" s="11"/>
      <c r="B24" s="11"/>
      <c r="C24" s="12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12" t="str">
        <f t="shared" si="4"/>
        <v/>
      </c>
      <c r="H24" s="12" t="str">
        <f t="shared" si="5"/>
        <v/>
      </c>
      <c r="I24" s="12" t="str">
        <f t="shared" si="6"/>
        <v/>
      </c>
      <c r="K24" s="1"/>
      <c r="L24" s="1"/>
      <c r="M24" s="1"/>
      <c r="N24" s="1"/>
      <c r="O24" s="1"/>
      <c r="P24" s="1"/>
    </row>
    <row r="25" spans="1:16" ht="24" customHeight="1" x14ac:dyDescent="0.25">
      <c r="A25" s="11"/>
      <c r="B25" s="11"/>
      <c r="C25" s="12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12" t="str">
        <f t="shared" si="4"/>
        <v/>
      </c>
      <c r="H25" s="12" t="str">
        <f t="shared" si="5"/>
        <v/>
      </c>
      <c r="I25" s="12" t="str">
        <f t="shared" si="6"/>
        <v/>
      </c>
      <c r="K25" s="1"/>
      <c r="L25" s="1"/>
      <c r="M25" s="1"/>
      <c r="N25" s="1"/>
      <c r="O25" s="1"/>
      <c r="P25" s="1"/>
    </row>
    <row r="26" spans="1:16" ht="19.5" customHeight="1" x14ac:dyDescent="0.25">
      <c r="A26" s="11"/>
      <c r="B26" s="11"/>
      <c r="C26" s="12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12" t="str">
        <f t="shared" si="4"/>
        <v/>
      </c>
      <c r="H26" s="12" t="str">
        <f t="shared" si="5"/>
        <v/>
      </c>
      <c r="I26" s="12" t="str">
        <f t="shared" si="6"/>
        <v/>
      </c>
    </row>
    <row r="27" spans="1:16" ht="19.5" customHeight="1" x14ac:dyDescent="0.25">
      <c r="A27" s="11"/>
      <c r="B27" s="11"/>
      <c r="C27" s="12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12" t="str">
        <f t="shared" si="4"/>
        <v/>
      </c>
      <c r="H27" s="12" t="str">
        <f t="shared" si="5"/>
        <v/>
      </c>
      <c r="I27" s="12" t="str">
        <f t="shared" si="6"/>
        <v/>
      </c>
    </row>
    <row r="28" spans="1:16" ht="19.5" customHeight="1" x14ac:dyDescent="0.25">
      <c r="A28" s="11"/>
      <c r="B28" s="11"/>
      <c r="C28" s="12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12" t="str">
        <f t="shared" si="4"/>
        <v/>
      </c>
      <c r="H28" s="12" t="str">
        <f t="shared" si="5"/>
        <v/>
      </c>
      <c r="I28" s="12" t="str">
        <f t="shared" si="6"/>
        <v/>
      </c>
    </row>
    <row r="29" spans="1:16" ht="19.5" customHeight="1" x14ac:dyDescent="0.25">
      <c r="A29" s="11"/>
      <c r="B29" s="11"/>
      <c r="C29" s="12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12" t="str">
        <f t="shared" si="4"/>
        <v/>
      </c>
      <c r="H29" s="12" t="str">
        <f t="shared" si="5"/>
        <v/>
      </c>
      <c r="I29" s="12" t="str">
        <f t="shared" si="6"/>
        <v/>
      </c>
    </row>
    <row r="30" spans="1:16" ht="19.5" customHeight="1" x14ac:dyDescent="0.25">
      <c r="A30" s="11"/>
      <c r="B30" s="11"/>
      <c r="C30" s="12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12" t="str">
        <f t="shared" si="4"/>
        <v/>
      </c>
      <c r="H30" s="12" t="str">
        <f t="shared" si="5"/>
        <v/>
      </c>
      <c r="I30" s="12" t="str">
        <f t="shared" si="6"/>
        <v/>
      </c>
    </row>
    <row r="31" spans="1:16" ht="19.5" customHeight="1" x14ac:dyDescent="0.25">
      <c r="A31" s="11"/>
      <c r="B31" s="11"/>
      <c r="C31" s="12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12" t="str">
        <f t="shared" si="4"/>
        <v/>
      </c>
      <c r="H31" s="12" t="str">
        <f t="shared" si="5"/>
        <v/>
      </c>
      <c r="I31" s="12" t="str">
        <f t="shared" si="6"/>
        <v/>
      </c>
    </row>
    <row r="32" spans="1:16" ht="19.5" customHeight="1" x14ac:dyDescent="0.25">
      <c r="A32" s="11"/>
      <c r="B32" s="11"/>
      <c r="C32" s="12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12" t="str">
        <f t="shared" si="4"/>
        <v/>
      </c>
      <c r="H32" s="12" t="str">
        <f t="shared" si="5"/>
        <v/>
      </c>
      <c r="I32" s="12" t="str">
        <f t="shared" si="6"/>
        <v/>
      </c>
    </row>
    <row r="33" spans="1:9" ht="19.5" customHeight="1" x14ac:dyDescent="0.25">
      <c r="A33" s="11"/>
      <c r="B33" s="11"/>
      <c r="C33" s="12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12" t="str">
        <f t="shared" si="4"/>
        <v/>
      </c>
      <c r="H33" s="12" t="str">
        <f t="shared" si="5"/>
        <v/>
      </c>
      <c r="I33" s="12" t="str">
        <f t="shared" si="6"/>
        <v/>
      </c>
    </row>
    <row r="34" spans="1:9" ht="19.5" customHeight="1" x14ac:dyDescent="0.25">
      <c r="A34" s="11"/>
      <c r="B34" s="11"/>
      <c r="C34" s="12" t="str">
        <f t="shared" si="0"/>
        <v/>
      </c>
      <c r="D34" s="12" t="str">
        <f t="shared" si="1"/>
        <v/>
      </c>
      <c r="E34" s="12" t="str">
        <f t="shared" si="2"/>
        <v/>
      </c>
      <c r="F34" s="12" t="str">
        <f t="shared" si="3"/>
        <v/>
      </c>
      <c r="G34" s="12" t="str">
        <f t="shared" si="4"/>
        <v/>
      </c>
      <c r="H34" s="12" t="str">
        <f t="shared" si="5"/>
        <v/>
      </c>
      <c r="I34" s="12" t="str">
        <f t="shared" si="6"/>
        <v/>
      </c>
    </row>
    <row r="35" spans="1:9" ht="19.5" customHeight="1" x14ac:dyDescent="0.25">
      <c r="A35" s="11"/>
      <c r="B35" s="11"/>
      <c r="C35" s="12" t="str">
        <f t="shared" si="0"/>
        <v/>
      </c>
      <c r="D35" s="12" t="str">
        <f t="shared" si="1"/>
        <v/>
      </c>
      <c r="E35" s="12" t="str">
        <f t="shared" si="2"/>
        <v/>
      </c>
      <c r="F35" s="12" t="str">
        <f t="shared" si="3"/>
        <v/>
      </c>
      <c r="G35" s="12" t="str">
        <f t="shared" si="4"/>
        <v/>
      </c>
      <c r="H35" s="12" t="str">
        <f t="shared" si="5"/>
        <v/>
      </c>
      <c r="I35" s="12" t="str">
        <f t="shared" si="6"/>
        <v/>
      </c>
    </row>
    <row r="36" spans="1:9" ht="19.5" customHeight="1" x14ac:dyDescent="0.25">
      <c r="A36" s="11"/>
      <c r="B36" s="11"/>
      <c r="C36" s="12" t="str">
        <f t="shared" si="0"/>
        <v/>
      </c>
      <c r="D36" s="12" t="str">
        <f t="shared" si="1"/>
        <v/>
      </c>
      <c r="E36" s="12" t="str">
        <f t="shared" si="2"/>
        <v/>
      </c>
      <c r="F36" s="12" t="str">
        <f t="shared" si="3"/>
        <v/>
      </c>
      <c r="G36" s="12" t="str">
        <f t="shared" si="4"/>
        <v/>
      </c>
      <c r="H36" s="12" t="str">
        <f t="shared" si="5"/>
        <v/>
      </c>
      <c r="I36" s="12" t="str">
        <f t="shared" si="6"/>
        <v/>
      </c>
    </row>
    <row r="37" spans="1:9" ht="19.5" customHeight="1" x14ac:dyDescent="0.25">
      <c r="A37" s="11"/>
      <c r="B37" s="11"/>
      <c r="C37" s="12" t="str">
        <f t="shared" ref="C37:C68" si="7">IF(A37="","",A37^2)</f>
        <v/>
      </c>
      <c r="D37" s="12" t="str">
        <f t="shared" ref="D37:D68" si="8">IF(A37="","",A37^3)</f>
        <v/>
      </c>
      <c r="E37" s="12" t="str">
        <f t="shared" ref="E37:E68" si="9">IF(A37="","",A37^4)</f>
        <v/>
      </c>
      <c r="F37" s="12" t="str">
        <f t="shared" ref="F37:F68" si="10">IF(OR(A37="",B37=""),"",A37*B37)</f>
        <v/>
      </c>
      <c r="G37" s="12" t="str">
        <f t="shared" ref="G37:G68" si="11">IF(OR(C37="",B37=""),"",C37*B37)</f>
        <v/>
      </c>
      <c r="H37" s="12" t="str">
        <f t="shared" ref="H37:H68" si="12">IF(A37="","",$P$13*A37^2+$P$14*A37+$P$15)</f>
        <v/>
      </c>
      <c r="I37" s="12" t="str">
        <f t="shared" ref="I37:I68" si="13">IF(OR(B37="",H37=""),"",B37-H37)</f>
        <v/>
      </c>
    </row>
    <row r="38" spans="1:9" ht="19.5" customHeight="1" x14ac:dyDescent="0.25">
      <c r="A38" s="11"/>
      <c r="B38" s="11"/>
      <c r="C38" s="12" t="str">
        <f t="shared" si="7"/>
        <v/>
      </c>
      <c r="D38" s="12" t="str">
        <f t="shared" si="8"/>
        <v/>
      </c>
      <c r="E38" s="12" t="str">
        <f t="shared" si="9"/>
        <v/>
      </c>
      <c r="F38" s="12" t="str">
        <f t="shared" si="10"/>
        <v/>
      </c>
      <c r="G38" s="12" t="str">
        <f t="shared" si="11"/>
        <v/>
      </c>
      <c r="H38" s="12" t="str">
        <f t="shared" si="12"/>
        <v/>
      </c>
      <c r="I38" s="12" t="str">
        <f t="shared" si="13"/>
        <v/>
      </c>
    </row>
    <row r="39" spans="1:9" ht="19.5" customHeight="1" x14ac:dyDescent="0.25">
      <c r="A39" s="11"/>
      <c r="B39" s="11"/>
      <c r="C39" s="12" t="str">
        <f t="shared" si="7"/>
        <v/>
      </c>
      <c r="D39" s="12" t="str">
        <f t="shared" si="8"/>
        <v/>
      </c>
      <c r="E39" s="12" t="str">
        <f t="shared" si="9"/>
        <v/>
      </c>
      <c r="F39" s="12" t="str">
        <f t="shared" si="10"/>
        <v/>
      </c>
      <c r="G39" s="12" t="str">
        <f t="shared" si="11"/>
        <v/>
      </c>
      <c r="H39" s="12" t="str">
        <f t="shared" si="12"/>
        <v/>
      </c>
      <c r="I39" s="12" t="str">
        <f t="shared" si="13"/>
        <v/>
      </c>
    </row>
    <row r="40" spans="1:9" ht="19.5" customHeight="1" x14ac:dyDescent="0.25">
      <c r="A40" s="11"/>
      <c r="B40" s="11"/>
      <c r="C40" s="12" t="str">
        <f t="shared" si="7"/>
        <v/>
      </c>
      <c r="D40" s="12" t="str">
        <f t="shared" si="8"/>
        <v/>
      </c>
      <c r="E40" s="12" t="str">
        <f t="shared" si="9"/>
        <v/>
      </c>
      <c r="F40" s="12" t="str">
        <f t="shared" si="10"/>
        <v/>
      </c>
      <c r="G40" s="12" t="str">
        <f t="shared" si="11"/>
        <v/>
      </c>
      <c r="H40" s="12" t="str">
        <f t="shared" si="12"/>
        <v/>
      </c>
      <c r="I40" s="12" t="str">
        <f t="shared" si="13"/>
        <v/>
      </c>
    </row>
    <row r="41" spans="1:9" ht="19.5" customHeight="1" x14ac:dyDescent="0.25">
      <c r="A41" s="11"/>
      <c r="B41" s="11"/>
      <c r="C41" s="12" t="str">
        <f t="shared" si="7"/>
        <v/>
      </c>
      <c r="D41" s="12" t="str">
        <f t="shared" si="8"/>
        <v/>
      </c>
      <c r="E41" s="12" t="str">
        <f t="shared" si="9"/>
        <v/>
      </c>
      <c r="F41" s="12" t="str">
        <f t="shared" si="10"/>
        <v/>
      </c>
      <c r="G41" s="12" t="str">
        <f t="shared" si="11"/>
        <v/>
      </c>
      <c r="H41" s="12" t="str">
        <f t="shared" si="12"/>
        <v/>
      </c>
      <c r="I41" s="12" t="str">
        <f t="shared" si="13"/>
        <v/>
      </c>
    </row>
    <row r="42" spans="1:9" ht="19.5" customHeight="1" x14ac:dyDescent="0.25">
      <c r="A42" s="11"/>
      <c r="B42" s="11"/>
      <c r="C42" s="12" t="str">
        <f t="shared" si="7"/>
        <v/>
      </c>
      <c r="D42" s="12" t="str">
        <f t="shared" si="8"/>
        <v/>
      </c>
      <c r="E42" s="12" t="str">
        <f t="shared" si="9"/>
        <v/>
      </c>
      <c r="F42" s="12" t="str">
        <f t="shared" si="10"/>
        <v/>
      </c>
      <c r="G42" s="12" t="str">
        <f t="shared" si="11"/>
        <v/>
      </c>
      <c r="H42" s="12" t="str">
        <f t="shared" si="12"/>
        <v/>
      </c>
      <c r="I42" s="12" t="str">
        <f t="shared" si="13"/>
        <v/>
      </c>
    </row>
    <row r="43" spans="1:9" ht="19.5" customHeight="1" x14ac:dyDescent="0.25">
      <c r="A43" s="11"/>
      <c r="B43" s="11"/>
      <c r="C43" s="12" t="str">
        <f t="shared" si="7"/>
        <v/>
      </c>
      <c r="D43" s="12" t="str">
        <f t="shared" si="8"/>
        <v/>
      </c>
      <c r="E43" s="12" t="str">
        <f t="shared" si="9"/>
        <v/>
      </c>
      <c r="F43" s="12" t="str">
        <f t="shared" si="10"/>
        <v/>
      </c>
      <c r="G43" s="12" t="str">
        <f t="shared" si="11"/>
        <v/>
      </c>
      <c r="H43" s="12" t="str">
        <f t="shared" si="12"/>
        <v/>
      </c>
      <c r="I43" s="12" t="str">
        <f t="shared" si="13"/>
        <v/>
      </c>
    </row>
    <row r="44" spans="1:9" ht="19.5" customHeight="1" x14ac:dyDescent="0.25">
      <c r="A44" s="11"/>
      <c r="B44" s="11"/>
      <c r="C44" s="12" t="str">
        <f t="shared" si="7"/>
        <v/>
      </c>
      <c r="D44" s="12" t="str">
        <f t="shared" si="8"/>
        <v/>
      </c>
      <c r="E44" s="12" t="str">
        <f t="shared" si="9"/>
        <v/>
      </c>
      <c r="F44" s="12" t="str">
        <f t="shared" si="10"/>
        <v/>
      </c>
      <c r="G44" s="12" t="str">
        <f t="shared" si="11"/>
        <v/>
      </c>
      <c r="H44" s="12" t="str">
        <f t="shared" si="12"/>
        <v/>
      </c>
      <c r="I44" s="12" t="str">
        <f t="shared" si="13"/>
        <v/>
      </c>
    </row>
    <row r="45" spans="1:9" ht="19.5" customHeight="1" x14ac:dyDescent="0.25">
      <c r="A45" s="11"/>
      <c r="B45" s="11"/>
      <c r="C45" s="12" t="str">
        <f t="shared" si="7"/>
        <v/>
      </c>
      <c r="D45" s="12" t="str">
        <f t="shared" si="8"/>
        <v/>
      </c>
      <c r="E45" s="12" t="str">
        <f t="shared" si="9"/>
        <v/>
      </c>
      <c r="F45" s="12" t="str">
        <f t="shared" si="10"/>
        <v/>
      </c>
      <c r="G45" s="12" t="str">
        <f t="shared" si="11"/>
        <v/>
      </c>
      <c r="H45" s="12" t="str">
        <f t="shared" si="12"/>
        <v/>
      </c>
      <c r="I45" s="12" t="str">
        <f t="shared" si="13"/>
        <v/>
      </c>
    </row>
    <row r="46" spans="1:9" ht="19.5" customHeight="1" x14ac:dyDescent="0.25">
      <c r="A46" s="11"/>
      <c r="B46" s="11"/>
      <c r="C46" s="12" t="str">
        <f t="shared" si="7"/>
        <v/>
      </c>
      <c r="D46" s="12" t="str">
        <f t="shared" si="8"/>
        <v/>
      </c>
      <c r="E46" s="12" t="str">
        <f t="shared" si="9"/>
        <v/>
      </c>
      <c r="F46" s="12" t="str">
        <f t="shared" si="10"/>
        <v/>
      </c>
      <c r="G46" s="12" t="str">
        <f t="shared" si="11"/>
        <v/>
      </c>
      <c r="H46" s="12" t="str">
        <f t="shared" si="12"/>
        <v/>
      </c>
      <c r="I46" s="12" t="str">
        <f t="shared" si="13"/>
        <v/>
      </c>
    </row>
    <row r="47" spans="1:9" ht="19.5" customHeight="1" x14ac:dyDescent="0.25">
      <c r="A47" s="11"/>
      <c r="B47" s="11"/>
      <c r="C47" s="12" t="str">
        <f t="shared" si="7"/>
        <v/>
      </c>
      <c r="D47" s="12" t="str">
        <f t="shared" si="8"/>
        <v/>
      </c>
      <c r="E47" s="12" t="str">
        <f t="shared" si="9"/>
        <v/>
      </c>
      <c r="F47" s="12" t="str">
        <f t="shared" si="10"/>
        <v/>
      </c>
      <c r="G47" s="12" t="str">
        <f t="shared" si="11"/>
        <v/>
      </c>
      <c r="H47" s="12" t="str">
        <f t="shared" si="12"/>
        <v/>
      </c>
      <c r="I47" s="12" t="str">
        <f t="shared" si="13"/>
        <v/>
      </c>
    </row>
    <row r="48" spans="1:9" ht="19.5" customHeight="1" x14ac:dyDescent="0.25">
      <c r="A48" s="11"/>
      <c r="B48" s="11"/>
      <c r="C48" s="12" t="str">
        <f t="shared" si="7"/>
        <v/>
      </c>
      <c r="D48" s="12" t="str">
        <f t="shared" si="8"/>
        <v/>
      </c>
      <c r="E48" s="12" t="str">
        <f t="shared" si="9"/>
        <v/>
      </c>
      <c r="F48" s="12" t="str">
        <f t="shared" si="10"/>
        <v/>
      </c>
      <c r="G48" s="12" t="str">
        <f t="shared" si="11"/>
        <v/>
      </c>
      <c r="H48" s="12" t="str">
        <f t="shared" si="12"/>
        <v/>
      </c>
      <c r="I48" s="12" t="str">
        <f t="shared" si="13"/>
        <v/>
      </c>
    </row>
    <row r="49" spans="1:9" ht="19.5" customHeight="1" x14ac:dyDescent="0.25">
      <c r="A49" s="11"/>
      <c r="B49" s="11"/>
      <c r="C49" s="12" t="str">
        <f t="shared" si="7"/>
        <v/>
      </c>
      <c r="D49" s="12" t="str">
        <f t="shared" si="8"/>
        <v/>
      </c>
      <c r="E49" s="12" t="str">
        <f t="shared" si="9"/>
        <v/>
      </c>
      <c r="F49" s="12" t="str">
        <f t="shared" si="10"/>
        <v/>
      </c>
      <c r="G49" s="12" t="str">
        <f t="shared" si="11"/>
        <v/>
      </c>
      <c r="H49" s="12" t="str">
        <f t="shared" si="12"/>
        <v/>
      </c>
      <c r="I49" s="12" t="str">
        <f t="shared" si="13"/>
        <v/>
      </c>
    </row>
    <row r="50" spans="1:9" ht="19.5" customHeight="1" x14ac:dyDescent="0.25">
      <c r="A50" s="11"/>
      <c r="B50" s="11"/>
      <c r="C50" s="12" t="str">
        <f t="shared" si="7"/>
        <v/>
      </c>
      <c r="D50" s="12" t="str">
        <f t="shared" si="8"/>
        <v/>
      </c>
      <c r="E50" s="12" t="str">
        <f t="shared" si="9"/>
        <v/>
      </c>
      <c r="F50" s="12" t="str">
        <f t="shared" si="10"/>
        <v/>
      </c>
      <c r="G50" s="12" t="str">
        <f t="shared" si="11"/>
        <v/>
      </c>
      <c r="H50" s="12" t="str">
        <f t="shared" si="12"/>
        <v/>
      </c>
      <c r="I50" s="12" t="str">
        <f t="shared" si="13"/>
        <v/>
      </c>
    </row>
    <row r="51" spans="1:9" ht="19.5" customHeight="1" x14ac:dyDescent="0.25">
      <c r="A51" s="11"/>
      <c r="B51" s="11"/>
      <c r="C51" s="12" t="str">
        <f t="shared" si="7"/>
        <v/>
      </c>
      <c r="D51" s="12" t="str">
        <f t="shared" si="8"/>
        <v/>
      </c>
      <c r="E51" s="12" t="str">
        <f t="shared" si="9"/>
        <v/>
      </c>
      <c r="F51" s="12" t="str">
        <f t="shared" si="10"/>
        <v/>
      </c>
      <c r="G51" s="12" t="str">
        <f t="shared" si="11"/>
        <v/>
      </c>
      <c r="H51" s="12" t="str">
        <f t="shared" si="12"/>
        <v/>
      </c>
      <c r="I51" s="12" t="str">
        <f t="shared" si="13"/>
        <v/>
      </c>
    </row>
    <row r="52" spans="1:9" ht="19.5" customHeight="1" x14ac:dyDescent="0.25">
      <c r="A52" s="11"/>
      <c r="B52" s="11"/>
      <c r="C52" s="12" t="str">
        <f t="shared" si="7"/>
        <v/>
      </c>
      <c r="D52" s="12" t="str">
        <f t="shared" si="8"/>
        <v/>
      </c>
      <c r="E52" s="12" t="str">
        <f t="shared" si="9"/>
        <v/>
      </c>
      <c r="F52" s="12" t="str">
        <f t="shared" si="10"/>
        <v/>
      </c>
      <c r="G52" s="12" t="str">
        <f t="shared" si="11"/>
        <v/>
      </c>
      <c r="H52" s="12" t="str">
        <f t="shared" si="12"/>
        <v/>
      </c>
      <c r="I52" s="12" t="str">
        <f t="shared" si="13"/>
        <v/>
      </c>
    </row>
    <row r="53" spans="1:9" ht="19.5" customHeight="1" x14ac:dyDescent="0.25">
      <c r="A53" s="11"/>
      <c r="B53" s="11"/>
      <c r="C53" s="12" t="str">
        <f t="shared" si="7"/>
        <v/>
      </c>
      <c r="D53" s="12" t="str">
        <f t="shared" si="8"/>
        <v/>
      </c>
      <c r="E53" s="12" t="str">
        <f t="shared" si="9"/>
        <v/>
      </c>
      <c r="F53" s="12" t="str">
        <f t="shared" si="10"/>
        <v/>
      </c>
      <c r="G53" s="12" t="str">
        <f t="shared" si="11"/>
        <v/>
      </c>
      <c r="H53" s="12" t="str">
        <f t="shared" si="12"/>
        <v/>
      </c>
      <c r="I53" s="12" t="str">
        <f t="shared" si="13"/>
        <v/>
      </c>
    </row>
    <row r="54" spans="1:9" ht="19.5" customHeight="1" x14ac:dyDescent="0.25">
      <c r="A54" s="11"/>
      <c r="B54" s="11"/>
      <c r="C54" s="12" t="str">
        <f t="shared" si="7"/>
        <v/>
      </c>
      <c r="D54" s="12" t="str">
        <f t="shared" si="8"/>
        <v/>
      </c>
      <c r="E54" s="12" t="str">
        <f t="shared" si="9"/>
        <v/>
      </c>
      <c r="F54" s="12" t="str">
        <f t="shared" si="10"/>
        <v/>
      </c>
      <c r="G54" s="12" t="str">
        <f t="shared" si="11"/>
        <v/>
      </c>
      <c r="H54" s="12" t="str">
        <f t="shared" si="12"/>
        <v/>
      </c>
      <c r="I54" s="12" t="str">
        <f t="shared" si="13"/>
        <v/>
      </c>
    </row>
    <row r="55" spans="1:9" ht="19.5" customHeight="1" x14ac:dyDescent="0.25">
      <c r="A55" s="11"/>
      <c r="B55" s="11"/>
      <c r="C55" s="12" t="str">
        <f t="shared" si="7"/>
        <v/>
      </c>
      <c r="D55" s="12" t="str">
        <f t="shared" si="8"/>
        <v/>
      </c>
      <c r="E55" s="12" t="str">
        <f t="shared" si="9"/>
        <v/>
      </c>
      <c r="F55" s="12" t="str">
        <f t="shared" si="10"/>
        <v/>
      </c>
      <c r="G55" s="12" t="str">
        <f t="shared" si="11"/>
        <v/>
      </c>
      <c r="H55" s="12" t="str">
        <f t="shared" si="12"/>
        <v/>
      </c>
      <c r="I55" s="12" t="str">
        <f t="shared" si="13"/>
        <v/>
      </c>
    </row>
    <row r="56" spans="1:9" ht="19.5" customHeight="1" x14ac:dyDescent="0.25">
      <c r="A56" s="11"/>
      <c r="B56" s="11"/>
      <c r="C56" s="12" t="str">
        <f t="shared" si="7"/>
        <v/>
      </c>
      <c r="D56" s="12" t="str">
        <f t="shared" si="8"/>
        <v/>
      </c>
      <c r="E56" s="12" t="str">
        <f t="shared" si="9"/>
        <v/>
      </c>
      <c r="F56" s="12" t="str">
        <f t="shared" si="10"/>
        <v/>
      </c>
      <c r="G56" s="12" t="str">
        <f t="shared" si="11"/>
        <v/>
      </c>
      <c r="H56" s="12" t="str">
        <f t="shared" si="12"/>
        <v/>
      </c>
      <c r="I56" s="12" t="str">
        <f t="shared" si="13"/>
        <v/>
      </c>
    </row>
    <row r="57" spans="1:9" ht="19.5" customHeight="1" x14ac:dyDescent="0.25">
      <c r="A57" s="11"/>
      <c r="B57" s="11"/>
      <c r="C57" s="12" t="str">
        <f t="shared" si="7"/>
        <v/>
      </c>
      <c r="D57" s="12" t="str">
        <f t="shared" si="8"/>
        <v/>
      </c>
      <c r="E57" s="12" t="str">
        <f t="shared" si="9"/>
        <v/>
      </c>
      <c r="F57" s="12" t="str">
        <f t="shared" si="10"/>
        <v/>
      </c>
      <c r="G57" s="12" t="str">
        <f t="shared" si="11"/>
        <v/>
      </c>
      <c r="H57" s="12" t="str">
        <f t="shared" si="12"/>
        <v/>
      </c>
      <c r="I57" s="12" t="str">
        <f t="shared" si="13"/>
        <v/>
      </c>
    </row>
    <row r="58" spans="1:9" ht="19.5" customHeight="1" x14ac:dyDescent="0.25">
      <c r="A58" s="11"/>
      <c r="B58" s="11"/>
      <c r="C58" s="12" t="str">
        <f t="shared" si="7"/>
        <v/>
      </c>
      <c r="D58" s="12" t="str">
        <f t="shared" si="8"/>
        <v/>
      </c>
      <c r="E58" s="12" t="str">
        <f t="shared" si="9"/>
        <v/>
      </c>
      <c r="F58" s="12" t="str">
        <f t="shared" si="10"/>
        <v/>
      </c>
      <c r="G58" s="12" t="str">
        <f t="shared" si="11"/>
        <v/>
      </c>
      <c r="H58" s="12" t="str">
        <f t="shared" si="12"/>
        <v/>
      </c>
      <c r="I58" s="12" t="str">
        <f t="shared" si="13"/>
        <v/>
      </c>
    </row>
    <row r="59" spans="1:9" ht="19.5" customHeight="1" x14ac:dyDescent="0.25">
      <c r="A59" s="11"/>
      <c r="B59" s="11"/>
      <c r="C59" s="12" t="str">
        <f t="shared" si="7"/>
        <v/>
      </c>
      <c r="D59" s="12" t="str">
        <f t="shared" si="8"/>
        <v/>
      </c>
      <c r="E59" s="12" t="str">
        <f t="shared" si="9"/>
        <v/>
      </c>
      <c r="F59" s="12" t="str">
        <f t="shared" si="10"/>
        <v/>
      </c>
      <c r="G59" s="12" t="str">
        <f t="shared" si="11"/>
        <v/>
      </c>
      <c r="H59" s="12" t="str">
        <f t="shared" si="12"/>
        <v/>
      </c>
      <c r="I59" s="12" t="str">
        <f t="shared" si="13"/>
        <v/>
      </c>
    </row>
    <row r="60" spans="1:9" ht="19.5" customHeight="1" x14ac:dyDescent="0.25">
      <c r="A60" s="11"/>
      <c r="B60" s="11"/>
      <c r="C60" s="12" t="str">
        <f t="shared" si="7"/>
        <v/>
      </c>
      <c r="D60" s="12" t="str">
        <f t="shared" si="8"/>
        <v/>
      </c>
      <c r="E60" s="12" t="str">
        <f t="shared" si="9"/>
        <v/>
      </c>
      <c r="F60" s="12" t="str">
        <f t="shared" si="10"/>
        <v/>
      </c>
      <c r="G60" s="12" t="str">
        <f t="shared" si="11"/>
        <v/>
      </c>
      <c r="H60" s="12" t="str">
        <f t="shared" si="12"/>
        <v/>
      </c>
      <c r="I60" s="12" t="str">
        <f t="shared" si="13"/>
        <v/>
      </c>
    </row>
    <row r="61" spans="1:9" ht="19.5" customHeight="1" x14ac:dyDescent="0.25">
      <c r="A61" s="11"/>
      <c r="B61" s="11"/>
      <c r="C61" s="12" t="str">
        <f t="shared" si="7"/>
        <v/>
      </c>
      <c r="D61" s="12" t="str">
        <f t="shared" si="8"/>
        <v/>
      </c>
      <c r="E61" s="12" t="str">
        <f t="shared" si="9"/>
        <v/>
      </c>
      <c r="F61" s="12" t="str">
        <f t="shared" si="10"/>
        <v/>
      </c>
      <c r="G61" s="12" t="str">
        <f t="shared" si="11"/>
        <v/>
      </c>
      <c r="H61" s="12" t="str">
        <f t="shared" si="12"/>
        <v/>
      </c>
      <c r="I61" s="12" t="str">
        <f t="shared" si="13"/>
        <v/>
      </c>
    </row>
    <row r="62" spans="1:9" ht="19.5" customHeight="1" x14ac:dyDescent="0.25">
      <c r="A62" s="11"/>
      <c r="B62" s="11"/>
      <c r="C62" s="12" t="str">
        <f t="shared" si="7"/>
        <v/>
      </c>
      <c r="D62" s="12" t="str">
        <f t="shared" si="8"/>
        <v/>
      </c>
      <c r="E62" s="12" t="str">
        <f t="shared" si="9"/>
        <v/>
      </c>
      <c r="F62" s="12" t="str">
        <f t="shared" si="10"/>
        <v/>
      </c>
      <c r="G62" s="12" t="str">
        <f t="shared" si="11"/>
        <v/>
      </c>
      <c r="H62" s="12" t="str">
        <f t="shared" si="12"/>
        <v/>
      </c>
      <c r="I62" s="12" t="str">
        <f t="shared" si="13"/>
        <v/>
      </c>
    </row>
    <row r="63" spans="1:9" ht="19.5" customHeight="1" x14ac:dyDescent="0.25">
      <c r="A63" s="11"/>
      <c r="B63" s="11"/>
      <c r="C63" s="12" t="str">
        <f t="shared" si="7"/>
        <v/>
      </c>
      <c r="D63" s="12" t="str">
        <f t="shared" si="8"/>
        <v/>
      </c>
      <c r="E63" s="12" t="str">
        <f t="shared" si="9"/>
        <v/>
      </c>
      <c r="F63" s="12" t="str">
        <f t="shared" si="10"/>
        <v/>
      </c>
      <c r="G63" s="12" t="str">
        <f t="shared" si="11"/>
        <v/>
      </c>
      <c r="H63" s="12" t="str">
        <f t="shared" si="12"/>
        <v/>
      </c>
      <c r="I63" s="12" t="str">
        <f t="shared" si="13"/>
        <v/>
      </c>
    </row>
    <row r="64" spans="1:9" ht="19.5" customHeight="1" x14ac:dyDescent="0.25">
      <c r="A64" s="11"/>
      <c r="B64" s="11"/>
      <c r="C64" s="12" t="str">
        <f t="shared" si="7"/>
        <v/>
      </c>
      <c r="D64" s="12" t="str">
        <f t="shared" si="8"/>
        <v/>
      </c>
      <c r="E64" s="12" t="str">
        <f t="shared" si="9"/>
        <v/>
      </c>
      <c r="F64" s="12" t="str">
        <f t="shared" si="10"/>
        <v/>
      </c>
      <c r="G64" s="12" t="str">
        <f t="shared" si="11"/>
        <v/>
      </c>
      <c r="H64" s="12" t="str">
        <f t="shared" si="12"/>
        <v/>
      </c>
      <c r="I64" s="12" t="str">
        <f t="shared" si="13"/>
        <v/>
      </c>
    </row>
    <row r="65" spans="1:9" ht="19.5" customHeight="1" x14ac:dyDescent="0.25">
      <c r="A65" s="11"/>
      <c r="B65" s="11"/>
      <c r="C65" s="12" t="str">
        <f t="shared" si="7"/>
        <v/>
      </c>
      <c r="D65" s="12" t="str">
        <f t="shared" si="8"/>
        <v/>
      </c>
      <c r="E65" s="12" t="str">
        <f t="shared" si="9"/>
        <v/>
      </c>
      <c r="F65" s="12" t="str">
        <f t="shared" si="10"/>
        <v/>
      </c>
      <c r="G65" s="12" t="str">
        <f t="shared" si="11"/>
        <v/>
      </c>
      <c r="H65" s="12" t="str">
        <f t="shared" si="12"/>
        <v/>
      </c>
      <c r="I65" s="12" t="str">
        <f t="shared" si="13"/>
        <v/>
      </c>
    </row>
    <row r="66" spans="1:9" ht="19.5" customHeight="1" x14ac:dyDescent="0.25">
      <c r="A66" s="11"/>
      <c r="B66" s="11"/>
      <c r="C66" s="12" t="str">
        <f t="shared" si="7"/>
        <v/>
      </c>
      <c r="D66" s="12" t="str">
        <f t="shared" si="8"/>
        <v/>
      </c>
      <c r="E66" s="12" t="str">
        <f t="shared" si="9"/>
        <v/>
      </c>
      <c r="F66" s="12" t="str">
        <f t="shared" si="10"/>
        <v/>
      </c>
      <c r="G66" s="12" t="str">
        <f t="shared" si="11"/>
        <v/>
      </c>
      <c r="H66" s="12" t="str">
        <f t="shared" si="12"/>
        <v/>
      </c>
      <c r="I66" s="12" t="str">
        <f t="shared" si="13"/>
        <v/>
      </c>
    </row>
    <row r="67" spans="1:9" ht="19.5" customHeight="1" x14ac:dyDescent="0.25">
      <c r="A67" s="11"/>
      <c r="B67" s="11"/>
      <c r="C67" s="12" t="str">
        <f t="shared" si="7"/>
        <v/>
      </c>
      <c r="D67" s="12" t="str">
        <f t="shared" si="8"/>
        <v/>
      </c>
      <c r="E67" s="12" t="str">
        <f t="shared" si="9"/>
        <v/>
      </c>
      <c r="F67" s="12" t="str">
        <f t="shared" si="10"/>
        <v/>
      </c>
      <c r="G67" s="12" t="str">
        <f t="shared" si="11"/>
        <v/>
      </c>
      <c r="H67" s="12" t="str">
        <f t="shared" si="12"/>
        <v/>
      </c>
      <c r="I67" s="12" t="str">
        <f t="shared" si="13"/>
        <v/>
      </c>
    </row>
    <row r="68" spans="1:9" ht="19.5" customHeight="1" x14ac:dyDescent="0.25">
      <c r="A68" s="11"/>
      <c r="B68" s="11"/>
      <c r="C68" s="12" t="str">
        <f t="shared" si="7"/>
        <v/>
      </c>
      <c r="D68" s="12" t="str">
        <f t="shared" si="8"/>
        <v/>
      </c>
      <c r="E68" s="12" t="str">
        <f t="shared" si="9"/>
        <v/>
      </c>
      <c r="F68" s="12" t="str">
        <f t="shared" si="10"/>
        <v/>
      </c>
      <c r="G68" s="12" t="str">
        <f t="shared" si="11"/>
        <v/>
      </c>
      <c r="H68" s="12" t="str">
        <f t="shared" si="12"/>
        <v/>
      </c>
      <c r="I68" s="12" t="str">
        <f t="shared" si="13"/>
        <v/>
      </c>
    </row>
    <row r="69" spans="1:9" ht="19.5" customHeight="1" x14ac:dyDescent="0.25">
      <c r="A69" s="11"/>
      <c r="B69" s="11"/>
      <c r="C69" s="12" t="str">
        <f t="shared" ref="C69:C104" si="14">IF(A69="","",A69^2)</f>
        <v/>
      </c>
      <c r="D69" s="12" t="str">
        <f t="shared" ref="D69:D104" si="15">IF(A69="","",A69^3)</f>
        <v/>
      </c>
      <c r="E69" s="12" t="str">
        <f t="shared" ref="E69:E104" si="16">IF(A69="","",A69^4)</f>
        <v/>
      </c>
      <c r="F69" s="12" t="str">
        <f t="shared" ref="F69:F104" si="17">IF(OR(A69="",B69=""),"",A69*B69)</f>
        <v/>
      </c>
      <c r="G69" s="12" t="str">
        <f t="shared" ref="G69:G104" si="18">IF(OR(C69="",B69=""),"",C69*B69)</f>
        <v/>
      </c>
      <c r="H69" s="12" t="str">
        <f t="shared" ref="H69:H104" si="19">IF(A69="","",$P$13*A69^2+$P$14*A69+$P$15)</f>
        <v/>
      </c>
      <c r="I69" s="12" t="str">
        <f t="shared" ref="I69:I100" si="20">IF(OR(B69="",H69=""),"",B69-H69)</f>
        <v/>
      </c>
    </row>
    <row r="70" spans="1:9" ht="19.5" customHeight="1" x14ac:dyDescent="0.25">
      <c r="A70" s="11"/>
      <c r="B70" s="11"/>
      <c r="C70" s="12" t="str">
        <f t="shared" si="14"/>
        <v/>
      </c>
      <c r="D70" s="12" t="str">
        <f t="shared" si="15"/>
        <v/>
      </c>
      <c r="E70" s="12" t="str">
        <f t="shared" si="16"/>
        <v/>
      </c>
      <c r="F70" s="12" t="str">
        <f t="shared" si="17"/>
        <v/>
      </c>
      <c r="G70" s="12" t="str">
        <f t="shared" si="18"/>
        <v/>
      </c>
      <c r="H70" s="12" t="str">
        <f t="shared" si="19"/>
        <v/>
      </c>
      <c r="I70" s="12" t="str">
        <f t="shared" si="20"/>
        <v/>
      </c>
    </row>
    <row r="71" spans="1:9" ht="19.5" customHeight="1" x14ac:dyDescent="0.25">
      <c r="A71" s="11"/>
      <c r="B71" s="11"/>
      <c r="C71" s="12" t="str">
        <f t="shared" si="14"/>
        <v/>
      </c>
      <c r="D71" s="12" t="str">
        <f t="shared" si="15"/>
        <v/>
      </c>
      <c r="E71" s="12" t="str">
        <f t="shared" si="16"/>
        <v/>
      </c>
      <c r="F71" s="12" t="str">
        <f t="shared" si="17"/>
        <v/>
      </c>
      <c r="G71" s="12" t="str">
        <f t="shared" si="18"/>
        <v/>
      </c>
      <c r="H71" s="12" t="str">
        <f t="shared" si="19"/>
        <v/>
      </c>
      <c r="I71" s="12" t="str">
        <f t="shared" si="20"/>
        <v/>
      </c>
    </row>
    <row r="72" spans="1:9" ht="19.5" customHeight="1" x14ac:dyDescent="0.25">
      <c r="A72" s="11"/>
      <c r="B72" s="11"/>
      <c r="C72" s="12" t="str">
        <f t="shared" si="14"/>
        <v/>
      </c>
      <c r="D72" s="12" t="str">
        <f t="shared" si="15"/>
        <v/>
      </c>
      <c r="E72" s="12" t="str">
        <f t="shared" si="16"/>
        <v/>
      </c>
      <c r="F72" s="12" t="str">
        <f t="shared" si="17"/>
        <v/>
      </c>
      <c r="G72" s="12" t="str">
        <f t="shared" si="18"/>
        <v/>
      </c>
      <c r="H72" s="12" t="str">
        <f t="shared" si="19"/>
        <v/>
      </c>
      <c r="I72" s="12" t="str">
        <f t="shared" si="20"/>
        <v/>
      </c>
    </row>
    <row r="73" spans="1:9" ht="19.5" customHeight="1" x14ac:dyDescent="0.25">
      <c r="A73" s="11"/>
      <c r="B73" s="11"/>
      <c r="C73" s="12" t="str">
        <f t="shared" si="14"/>
        <v/>
      </c>
      <c r="D73" s="12" t="str">
        <f t="shared" si="15"/>
        <v/>
      </c>
      <c r="E73" s="12" t="str">
        <f t="shared" si="16"/>
        <v/>
      </c>
      <c r="F73" s="12" t="str">
        <f t="shared" si="17"/>
        <v/>
      </c>
      <c r="G73" s="12" t="str">
        <f t="shared" si="18"/>
        <v/>
      </c>
      <c r="H73" s="12" t="str">
        <f t="shared" si="19"/>
        <v/>
      </c>
      <c r="I73" s="12" t="str">
        <f t="shared" si="20"/>
        <v/>
      </c>
    </row>
    <row r="74" spans="1:9" ht="19.5" customHeight="1" x14ac:dyDescent="0.25">
      <c r="A74" s="11"/>
      <c r="B74" s="11"/>
      <c r="C74" s="12" t="str">
        <f t="shared" si="14"/>
        <v/>
      </c>
      <c r="D74" s="12" t="str">
        <f t="shared" si="15"/>
        <v/>
      </c>
      <c r="E74" s="12" t="str">
        <f t="shared" si="16"/>
        <v/>
      </c>
      <c r="F74" s="12" t="str">
        <f t="shared" si="17"/>
        <v/>
      </c>
      <c r="G74" s="12" t="str">
        <f t="shared" si="18"/>
        <v/>
      </c>
      <c r="H74" s="12" t="str">
        <f t="shared" si="19"/>
        <v/>
      </c>
      <c r="I74" s="12" t="str">
        <f t="shared" si="20"/>
        <v/>
      </c>
    </row>
    <row r="75" spans="1:9" ht="19.5" customHeight="1" x14ac:dyDescent="0.25">
      <c r="A75" s="11"/>
      <c r="B75" s="11"/>
      <c r="C75" s="12" t="str">
        <f t="shared" si="14"/>
        <v/>
      </c>
      <c r="D75" s="12" t="str">
        <f t="shared" si="15"/>
        <v/>
      </c>
      <c r="E75" s="12" t="str">
        <f t="shared" si="16"/>
        <v/>
      </c>
      <c r="F75" s="12" t="str">
        <f t="shared" si="17"/>
        <v/>
      </c>
      <c r="G75" s="12" t="str">
        <f t="shared" si="18"/>
        <v/>
      </c>
      <c r="H75" s="12" t="str">
        <f t="shared" si="19"/>
        <v/>
      </c>
      <c r="I75" s="12" t="str">
        <f t="shared" si="20"/>
        <v/>
      </c>
    </row>
    <row r="76" spans="1:9" ht="19.5" customHeight="1" x14ac:dyDescent="0.25">
      <c r="A76" s="11"/>
      <c r="B76" s="11"/>
      <c r="C76" s="12" t="str">
        <f t="shared" si="14"/>
        <v/>
      </c>
      <c r="D76" s="12" t="str">
        <f t="shared" si="15"/>
        <v/>
      </c>
      <c r="E76" s="12" t="str">
        <f t="shared" si="16"/>
        <v/>
      </c>
      <c r="F76" s="12" t="str">
        <f t="shared" si="17"/>
        <v/>
      </c>
      <c r="G76" s="12" t="str">
        <f t="shared" si="18"/>
        <v/>
      </c>
      <c r="H76" s="12" t="str">
        <f t="shared" si="19"/>
        <v/>
      </c>
      <c r="I76" s="12" t="str">
        <f t="shared" si="20"/>
        <v/>
      </c>
    </row>
    <row r="77" spans="1:9" ht="19.5" customHeight="1" x14ac:dyDescent="0.25">
      <c r="A77" s="11"/>
      <c r="B77" s="11"/>
      <c r="C77" s="12" t="str">
        <f t="shared" si="14"/>
        <v/>
      </c>
      <c r="D77" s="12" t="str">
        <f t="shared" si="15"/>
        <v/>
      </c>
      <c r="E77" s="12" t="str">
        <f t="shared" si="16"/>
        <v/>
      </c>
      <c r="F77" s="12" t="str">
        <f t="shared" si="17"/>
        <v/>
      </c>
      <c r="G77" s="12" t="str">
        <f t="shared" si="18"/>
        <v/>
      </c>
      <c r="H77" s="12" t="str">
        <f t="shared" si="19"/>
        <v/>
      </c>
      <c r="I77" s="12" t="str">
        <f t="shared" si="20"/>
        <v/>
      </c>
    </row>
    <row r="78" spans="1:9" ht="19.5" customHeight="1" x14ac:dyDescent="0.25">
      <c r="A78" s="11"/>
      <c r="B78" s="11"/>
      <c r="C78" s="12" t="str">
        <f t="shared" si="14"/>
        <v/>
      </c>
      <c r="D78" s="12" t="str">
        <f t="shared" si="15"/>
        <v/>
      </c>
      <c r="E78" s="12" t="str">
        <f t="shared" si="16"/>
        <v/>
      </c>
      <c r="F78" s="12" t="str">
        <f t="shared" si="17"/>
        <v/>
      </c>
      <c r="G78" s="12" t="str">
        <f t="shared" si="18"/>
        <v/>
      </c>
      <c r="H78" s="12" t="str">
        <f t="shared" si="19"/>
        <v/>
      </c>
      <c r="I78" s="12" t="str">
        <f t="shared" si="20"/>
        <v/>
      </c>
    </row>
    <row r="79" spans="1:9" ht="19.5" customHeight="1" x14ac:dyDescent="0.25">
      <c r="A79" s="11"/>
      <c r="B79" s="11"/>
      <c r="C79" s="12" t="str">
        <f t="shared" si="14"/>
        <v/>
      </c>
      <c r="D79" s="12" t="str">
        <f t="shared" si="15"/>
        <v/>
      </c>
      <c r="E79" s="12" t="str">
        <f t="shared" si="16"/>
        <v/>
      </c>
      <c r="F79" s="12" t="str">
        <f t="shared" si="17"/>
        <v/>
      </c>
      <c r="G79" s="12" t="str">
        <f t="shared" si="18"/>
        <v/>
      </c>
      <c r="H79" s="12" t="str">
        <f t="shared" si="19"/>
        <v/>
      </c>
      <c r="I79" s="12" t="str">
        <f t="shared" si="20"/>
        <v/>
      </c>
    </row>
    <row r="80" spans="1:9" ht="19.5" customHeight="1" x14ac:dyDescent="0.25">
      <c r="A80" s="11"/>
      <c r="B80" s="11"/>
      <c r="C80" s="12" t="str">
        <f t="shared" si="14"/>
        <v/>
      </c>
      <c r="D80" s="12" t="str">
        <f t="shared" si="15"/>
        <v/>
      </c>
      <c r="E80" s="12" t="str">
        <f t="shared" si="16"/>
        <v/>
      </c>
      <c r="F80" s="12" t="str">
        <f t="shared" si="17"/>
        <v/>
      </c>
      <c r="G80" s="12" t="str">
        <f t="shared" si="18"/>
        <v/>
      </c>
      <c r="H80" s="12" t="str">
        <f t="shared" si="19"/>
        <v/>
      </c>
      <c r="I80" s="12" t="str">
        <f t="shared" si="20"/>
        <v/>
      </c>
    </row>
    <row r="81" spans="1:9" ht="19.5" customHeight="1" x14ac:dyDescent="0.25">
      <c r="A81" s="11"/>
      <c r="B81" s="11"/>
      <c r="C81" s="12" t="str">
        <f t="shared" si="14"/>
        <v/>
      </c>
      <c r="D81" s="12" t="str">
        <f t="shared" si="15"/>
        <v/>
      </c>
      <c r="E81" s="12" t="str">
        <f t="shared" si="16"/>
        <v/>
      </c>
      <c r="F81" s="12" t="str">
        <f t="shared" si="17"/>
        <v/>
      </c>
      <c r="G81" s="12" t="str">
        <f t="shared" si="18"/>
        <v/>
      </c>
      <c r="H81" s="12" t="str">
        <f t="shared" si="19"/>
        <v/>
      </c>
      <c r="I81" s="12" t="str">
        <f t="shared" si="20"/>
        <v/>
      </c>
    </row>
    <row r="82" spans="1:9" ht="19.5" customHeight="1" x14ac:dyDescent="0.25">
      <c r="A82" s="11"/>
      <c r="B82" s="11"/>
      <c r="C82" s="12" t="str">
        <f t="shared" si="14"/>
        <v/>
      </c>
      <c r="D82" s="12" t="str">
        <f t="shared" si="15"/>
        <v/>
      </c>
      <c r="E82" s="12" t="str">
        <f t="shared" si="16"/>
        <v/>
      </c>
      <c r="F82" s="12" t="str">
        <f t="shared" si="17"/>
        <v/>
      </c>
      <c r="G82" s="12" t="str">
        <f t="shared" si="18"/>
        <v/>
      </c>
      <c r="H82" s="12" t="str">
        <f t="shared" si="19"/>
        <v/>
      </c>
      <c r="I82" s="12" t="str">
        <f t="shared" si="20"/>
        <v/>
      </c>
    </row>
    <row r="83" spans="1:9" ht="19.5" customHeight="1" x14ac:dyDescent="0.25">
      <c r="A83" s="11"/>
      <c r="B83" s="11"/>
      <c r="C83" s="12" t="str">
        <f t="shared" si="14"/>
        <v/>
      </c>
      <c r="D83" s="12" t="str">
        <f t="shared" si="15"/>
        <v/>
      </c>
      <c r="E83" s="12" t="str">
        <f t="shared" si="16"/>
        <v/>
      </c>
      <c r="F83" s="12" t="str">
        <f t="shared" si="17"/>
        <v/>
      </c>
      <c r="G83" s="12" t="str">
        <f t="shared" si="18"/>
        <v/>
      </c>
      <c r="H83" s="12" t="str">
        <f t="shared" si="19"/>
        <v/>
      </c>
      <c r="I83" s="12" t="str">
        <f t="shared" si="20"/>
        <v/>
      </c>
    </row>
    <row r="84" spans="1:9" ht="19.5" customHeight="1" x14ac:dyDescent="0.25">
      <c r="A84" s="11"/>
      <c r="B84" s="11"/>
      <c r="C84" s="12" t="str">
        <f t="shared" si="14"/>
        <v/>
      </c>
      <c r="D84" s="12" t="str">
        <f t="shared" si="15"/>
        <v/>
      </c>
      <c r="E84" s="12" t="str">
        <f t="shared" si="16"/>
        <v/>
      </c>
      <c r="F84" s="12" t="str">
        <f t="shared" si="17"/>
        <v/>
      </c>
      <c r="G84" s="12" t="str">
        <f t="shared" si="18"/>
        <v/>
      </c>
      <c r="H84" s="12" t="str">
        <f t="shared" si="19"/>
        <v/>
      </c>
      <c r="I84" s="12" t="str">
        <f t="shared" si="20"/>
        <v/>
      </c>
    </row>
    <row r="85" spans="1:9" ht="19.5" customHeight="1" x14ac:dyDescent="0.25">
      <c r="A85" s="11"/>
      <c r="B85" s="11"/>
      <c r="C85" s="12" t="str">
        <f t="shared" si="14"/>
        <v/>
      </c>
      <c r="D85" s="12" t="str">
        <f t="shared" si="15"/>
        <v/>
      </c>
      <c r="E85" s="12" t="str">
        <f t="shared" si="16"/>
        <v/>
      </c>
      <c r="F85" s="12" t="str">
        <f t="shared" si="17"/>
        <v/>
      </c>
      <c r="G85" s="12" t="str">
        <f t="shared" si="18"/>
        <v/>
      </c>
      <c r="H85" s="12" t="str">
        <f t="shared" si="19"/>
        <v/>
      </c>
      <c r="I85" s="12" t="str">
        <f t="shared" si="20"/>
        <v/>
      </c>
    </row>
    <row r="86" spans="1:9" ht="19.5" customHeight="1" x14ac:dyDescent="0.25">
      <c r="A86" s="11"/>
      <c r="B86" s="11"/>
      <c r="C86" s="12" t="str">
        <f t="shared" si="14"/>
        <v/>
      </c>
      <c r="D86" s="12" t="str">
        <f t="shared" si="15"/>
        <v/>
      </c>
      <c r="E86" s="12" t="str">
        <f t="shared" si="16"/>
        <v/>
      </c>
      <c r="F86" s="12" t="str">
        <f t="shared" si="17"/>
        <v/>
      </c>
      <c r="G86" s="12" t="str">
        <f t="shared" si="18"/>
        <v/>
      </c>
      <c r="H86" s="12" t="str">
        <f t="shared" si="19"/>
        <v/>
      </c>
      <c r="I86" s="12" t="str">
        <f t="shared" si="20"/>
        <v/>
      </c>
    </row>
    <row r="87" spans="1:9" ht="19.5" customHeight="1" x14ac:dyDescent="0.25">
      <c r="A87" s="11"/>
      <c r="B87" s="11"/>
      <c r="C87" s="12" t="str">
        <f t="shared" si="14"/>
        <v/>
      </c>
      <c r="D87" s="12" t="str">
        <f t="shared" si="15"/>
        <v/>
      </c>
      <c r="E87" s="12" t="str">
        <f t="shared" si="16"/>
        <v/>
      </c>
      <c r="F87" s="12" t="str">
        <f t="shared" si="17"/>
        <v/>
      </c>
      <c r="G87" s="12" t="str">
        <f t="shared" si="18"/>
        <v/>
      </c>
      <c r="H87" s="12" t="str">
        <f t="shared" si="19"/>
        <v/>
      </c>
      <c r="I87" s="12" t="str">
        <f t="shared" si="20"/>
        <v/>
      </c>
    </row>
    <row r="88" spans="1:9" ht="19.5" customHeight="1" x14ac:dyDescent="0.25">
      <c r="A88" s="11"/>
      <c r="B88" s="11"/>
      <c r="C88" s="12" t="str">
        <f t="shared" si="14"/>
        <v/>
      </c>
      <c r="D88" s="12" t="str">
        <f t="shared" si="15"/>
        <v/>
      </c>
      <c r="E88" s="12" t="str">
        <f t="shared" si="16"/>
        <v/>
      </c>
      <c r="F88" s="12" t="str">
        <f t="shared" si="17"/>
        <v/>
      </c>
      <c r="G88" s="12" t="str">
        <f t="shared" si="18"/>
        <v/>
      </c>
      <c r="H88" s="12" t="str">
        <f t="shared" si="19"/>
        <v/>
      </c>
      <c r="I88" s="12" t="str">
        <f t="shared" si="20"/>
        <v/>
      </c>
    </row>
    <row r="89" spans="1:9" ht="19.5" customHeight="1" x14ac:dyDescent="0.25">
      <c r="A89" s="11"/>
      <c r="B89" s="11"/>
      <c r="C89" s="12" t="str">
        <f t="shared" si="14"/>
        <v/>
      </c>
      <c r="D89" s="12" t="str">
        <f t="shared" si="15"/>
        <v/>
      </c>
      <c r="E89" s="12" t="str">
        <f t="shared" si="16"/>
        <v/>
      </c>
      <c r="F89" s="12" t="str">
        <f t="shared" si="17"/>
        <v/>
      </c>
      <c r="G89" s="12" t="str">
        <f t="shared" si="18"/>
        <v/>
      </c>
      <c r="H89" s="12" t="str">
        <f t="shared" si="19"/>
        <v/>
      </c>
      <c r="I89" s="12" t="str">
        <f t="shared" si="20"/>
        <v/>
      </c>
    </row>
    <row r="90" spans="1:9" ht="19.5" customHeight="1" x14ac:dyDescent="0.25">
      <c r="A90" s="11"/>
      <c r="B90" s="11"/>
      <c r="C90" s="12" t="str">
        <f t="shared" si="14"/>
        <v/>
      </c>
      <c r="D90" s="12" t="str">
        <f t="shared" si="15"/>
        <v/>
      </c>
      <c r="E90" s="12" t="str">
        <f t="shared" si="16"/>
        <v/>
      </c>
      <c r="F90" s="12" t="str">
        <f t="shared" si="17"/>
        <v/>
      </c>
      <c r="G90" s="12" t="str">
        <f t="shared" si="18"/>
        <v/>
      </c>
      <c r="H90" s="12" t="str">
        <f t="shared" si="19"/>
        <v/>
      </c>
      <c r="I90" s="12" t="str">
        <f t="shared" si="20"/>
        <v/>
      </c>
    </row>
    <row r="91" spans="1:9" ht="19.5" customHeight="1" x14ac:dyDescent="0.25">
      <c r="A91" s="11"/>
      <c r="B91" s="11"/>
      <c r="C91" s="12" t="str">
        <f t="shared" si="14"/>
        <v/>
      </c>
      <c r="D91" s="12" t="str">
        <f t="shared" si="15"/>
        <v/>
      </c>
      <c r="E91" s="12" t="str">
        <f t="shared" si="16"/>
        <v/>
      </c>
      <c r="F91" s="12" t="str">
        <f t="shared" si="17"/>
        <v/>
      </c>
      <c r="G91" s="12" t="str">
        <f t="shared" si="18"/>
        <v/>
      </c>
      <c r="H91" s="12" t="str">
        <f t="shared" si="19"/>
        <v/>
      </c>
      <c r="I91" s="12" t="str">
        <f t="shared" si="20"/>
        <v/>
      </c>
    </row>
    <row r="92" spans="1:9" ht="19.5" customHeight="1" x14ac:dyDescent="0.25">
      <c r="A92" s="11"/>
      <c r="B92" s="11"/>
      <c r="C92" s="12" t="str">
        <f t="shared" si="14"/>
        <v/>
      </c>
      <c r="D92" s="12" t="str">
        <f t="shared" si="15"/>
        <v/>
      </c>
      <c r="E92" s="12" t="str">
        <f t="shared" si="16"/>
        <v/>
      </c>
      <c r="F92" s="12" t="str">
        <f t="shared" si="17"/>
        <v/>
      </c>
      <c r="G92" s="12" t="str">
        <f t="shared" si="18"/>
        <v/>
      </c>
      <c r="H92" s="12" t="str">
        <f t="shared" si="19"/>
        <v/>
      </c>
      <c r="I92" s="12" t="str">
        <f t="shared" si="20"/>
        <v/>
      </c>
    </row>
    <row r="93" spans="1:9" ht="19.5" customHeight="1" x14ac:dyDescent="0.25">
      <c r="A93" s="11"/>
      <c r="B93" s="11"/>
      <c r="C93" s="12" t="str">
        <f t="shared" si="14"/>
        <v/>
      </c>
      <c r="D93" s="12" t="str">
        <f t="shared" si="15"/>
        <v/>
      </c>
      <c r="E93" s="12" t="str">
        <f t="shared" si="16"/>
        <v/>
      </c>
      <c r="F93" s="12" t="str">
        <f t="shared" si="17"/>
        <v/>
      </c>
      <c r="G93" s="12" t="str">
        <f t="shared" si="18"/>
        <v/>
      </c>
      <c r="H93" s="12" t="str">
        <f t="shared" si="19"/>
        <v/>
      </c>
      <c r="I93" s="12" t="str">
        <f t="shared" si="20"/>
        <v/>
      </c>
    </row>
    <row r="94" spans="1:9" ht="19.5" customHeight="1" x14ac:dyDescent="0.25">
      <c r="A94" s="11"/>
      <c r="B94" s="11"/>
      <c r="C94" s="12" t="str">
        <f t="shared" si="14"/>
        <v/>
      </c>
      <c r="D94" s="12" t="str">
        <f t="shared" si="15"/>
        <v/>
      </c>
      <c r="E94" s="12" t="str">
        <f t="shared" si="16"/>
        <v/>
      </c>
      <c r="F94" s="12" t="str">
        <f t="shared" si="17"/>
        <v/>
      </c>
      <c r="G94" s="12" t="str">
        <f t="shared" si="18"/>
        <v/>
      </c>
      <c r="H94" s="12" t="str">
        <f t="shared" si="19"/>
        <v/>
      </c>
      <c r="I94" s="12" t="str">
        <f t="shared" si="20"/>
        <v/>
      </c>
    </row>
    <row r="95" spans="1:9" ht="19.5" customHeight="1" x14ac:dyDescent="0.25">
      <c r="A95" s="11"/>
      <c r="B95" s="11"/>
      <c r="C95" s="12" t="str">
        <f t="shared" si="14"/>
        <v/>
      </c>
      <c r="D95" s="12" t="str">
        <f t="shared" si="15"/>
        <v/>
      </c>
      <c r="E95" s="12" t="str">
        <f t="shared" si="16"/>
        <v/>
      </c>
      <c r="F95" s="12" t="str">
        <f t="shared" si="17"/>
        <v/>
      </c>
      <c r="G95" s="12" t="str">
        <f t="shared" si="18"/>
        <v/>
      </c>
      <c r="H95" s="12" t="str">
        <f t="shared" si="19"/>
        <v/>
      </c>
      <c r="I95" s="12" t="str">
        <f t="shared" si="20"/>
        <v/>
      </c>
    </row>
    <row r="96" spans="1:9" ht="19.5" customHeight="1" x14ac:dyDescent="0.25">
      <c r="A96" s="11"/>
      <c r="B96" s="11"/>
      <c r="C96" s="12" t="str">
        <f t="shared" si="14"/>
        <v/>
      </c>
      <c r="D96" s="12" t="str">
        <f t="shared" si="15"/>
        <v/>
      </c>
      <c r="E96" s="12" t="str">
        <f t="shared" si="16"/>
        <v/>
      </c>
      <c r="F96" s="12" t="str">
        <f t="shared" si="17"/>
        <v/>
      </c>
      <c r="G96" s="12" t="str">
        <f t="shared" si="18"/>
        <v/>
      </c>
      <c r="H96" s="12" t="str">
        <f t="shared" si="19"/>
        <v/>
      </c>
      <c r="I96" s="12" t="str">
        <f t="shared" si="20"/>
        <v/>
      </c>
    </row>
    <row r="97" spans="1:9" ht="19.5" customHeight="1" x14ac:dyDescent="0.25">
      <c r="A97" s="11"/>
      <c r="B97" s="11"/>
      <c r="C97" s="12" t="str">
        <f t="shared" si="14"/>
        <v/>
      </c>
      <c r="D97" s="12" t="str">
        <f t="shared" si="15"/>
        <v/>
      </c>
      <c r="E97" s="12" t="str">
        <f t="shared" si="16"/>
        <v/>
      </c>
      <c r="F97" s="12" t="str">
        <f t="shared" si="17"/>
        <v/>
      </c>
      <c r="G97" s="12" t="str">
        <f t="shared" si="18"/>
        <v/>
      </c>
      <c r="H97" s="12" t="str">
        <f t="shared" si="19"/>
        <v/>
      </c>
      <c r="I97" s="12" t="str">
        <f t="shared" si="20"/>
        <v/>
      </c>
    </row>
    <row r="98" spans="1:9" ht="19.5" customHeight="1" x14ac:dyDescent="0.25">
      <c r="A98" s="11"/>
      <c r="B98" s="11"/>
      <c r="C98" s="12" t="str">
        <f t="shared" si="14"/>
        <v/>
      </c>
      <c r="D98" s="12" t="str">
        <f t="shared" si="15"/>
        <v/>
      </c>
      <c r="E98" s="12" t="str">
        <f t="shared" si="16"/>
        <v/>
      </c>
      <c r="F98" s="12" t="str">
        <f t="shared" si="17"/>
        <v/>
      </c>
      <c r="G98" s="12" t="str">
        <f t="shared" si="18"/>
        <v/>
      </c>
      <c r="H98" s="12" t="str">
        <f t="shared" si="19"/>
        <v/>
      </c>
      <c r="I98" s="12" t="str">
        <f t="shared" si="20"/>
        <v/>
      </c>
    </row>
    <row r="99" spans="1:9" ht="19.5" customHeight="1" x14ac:dyDescent="0.25">
      <c r="A99" s="11"/>
      <c r="B99" s="11"/>
      <c r="C99" s="12" t="str">
        <f t="shared" si="14"/>
        <v/>
      </c>
      <c r="D99" s="12" t="str">
        <f t="shared" si="15"/>
        <v/>
      </c>
      <c r="E99" s="12" t="str">
        <f t="shared" si="16"/>
        <v/>
      </c>
      <c r="F99" s="12" t="str">
        <f t="shared" si="17"/>
        <v/>
      </c>
      <c r="G99" s="12" t="str">
        <f t="shared" si="18"/>
        <v/>
      </c>
      <c r="H99" s="12" t="str">
        <f t="shared" si="19"/>
        <v/>
      </c>
      <c r="I99" s="12" t="str">
        <f t="shared" si="20"/>
        <v/>
      </c>
    </row>
    <row r="100" spans="1:9" ht="19.5" customHeight="1" x14ac:dyDescent="0.25">
      <c r="A100" s="11"/>
      <c r="B100" s="11"/>
      <c r="C100" s="12" t="str">
        <f t="shared" si="14"/>
        <v/>
      </c>
      <c r="D100" s="12" t="str">
        <f t="shared" si="15"/>
        <v/>
      </c>
      <c r="E100" s="12" t="str">
        <f t="shared" si="16"/>
        <v/>
      </c>
      <c r="F100" s="12" t="str">
        <f t="shared" si="17"/>
        <v/>
      </c>
      <c r="G100" s="12" t="str">
        <f t="shared" si="18"/>
        <v/>
      </c>
      <c r="H100" s="12" t="str">
        <f t="shared" si="19"/>
        <v/>
      </c>
      <c r="I100" s="12" t="str">
        <f t="shared" si="20"/>
        <v/>
      </c>
    </row>
    <row r="101" spans="1:9" ht="19.5" customHeight="1" x14ac:dyDescent="0.25">
      <c r="A101" s="11"/>
      <c r="B101" s="11"/>
      <c r="C101" s="12" t="str">
        <f t="shared" si="14"/>
        <v/>
      </c>
      <c r="D101" s="12" t="str">
        <f t="shared" si="15"/>
        <v/>
      </c>
      <c r="E101" s="12" t="str">
        <f t="shared" si="16"/>
        <v/>
      </c>
      <c r="F101" s="12" t="str">
        <f t="shared" si="17"/>
        <v/>
      </c>
      <c r="G101" s="12" t="str">
        <f t="shared" si="18"/>
        <v/>
      </c>
      <c r="H101" s="12" t="str">
        <f t="shared" si="19"/>
        <v/>
      </c>
      <c r="I101" s="12" t="str">
        <f t="shared" ref="I101:I132" si="21">IF(OR(B101="",H101=""),"",B101-H101)</f>
        <v/>
      </c>
    </row>
    <row r="102" spans="1:9" ht="19.5" customHeight="1" x14ac:dyDescent="0.25">
      <c r="A102" s="11"/>
      <c r="B102" s="11"/>
      <c r="C102" s="12" t="str">
        <f t="shared" si="14"/>
        <v/>
      </c>
      <c r="D102" s="12" t="str">
        <f t="shared" si="15"/>
        <v/>
      </c>
      <c r="E102" s="12" t="str">
        <f t="shared" si="16"/>
        <v/>
      </c>
      <c r="F102" s="12" t="str">
        <f t="shared" si="17"/>
        <v/>
      </c>
      <c r="G102" s="12" t="str">
        <f t="shared" si="18"/>
        <v/>
      </c>
      <c r="H102" s="12" t="str">
        <f t="shared" si="19"/>
        <v/>
      </c>
      <c r="I102" s="12" t="str">
        <f t="shared" si="21"/>
        <v/>
      </c>
    </row>
    <row r="103" spans="1:9" ht="19.5" customHeight="1" x14ac:dyDescent="0.25">
      <c r="A103" s="11"/>
      <c r="B103" s="11"/>
      <c r="C103" s="12" t="str">
        <f t="shared" si="14"/>
        <v/>
      </c>
      <c r="D103" s="12" t="str">
        <f t="shared" si="15"/>
        <v/>
      </c>
      <c r="E103" s="12" t="str">
        <f t="shared" si="16"/>
        <v/>
      </c>
      <c r="F103" s="12" t="str">
        <f t="shared" si="17"/>
        <v/>
      </c>
      <c r="G103" s="12" t="str">
        <f t="shared" si="18"/>
        <v/>
      </c>
      <c r="H103" s="12" t="str">
        <f t="shared" si="19"/>
        <v/>
      </c>
      <c r="I103" s="12" t="str">
        <f t="shared" si="21"/>
        <v/>
      </c>
    </row>
    <row r="104" spans="1:9" ht="19.5" customHeight="1" x14ac:dyDescent="0.25">
      <c r="A104" s="11"/>
      <c r="B104" s="11"/>
      <c r="C104" s="12" t="str">
        <f t="shared" si="14"/>
        <v/>
      </c>
      <c r="D104" s="12" t="str">
        <f t="shared" si="15"/>
        <v/>
      </c>
      <c r="E104" s="12" t="str">
        <f t="shared" si="16"/>
        <v/>
      </c>
      <c r="F104" s="12" t="str">
        <f t="shared" si="17"/>
        <v/>
      </c>
      <c r="G104" s="12" t="str">
        <f t="shared" si="18"/>
        <v/>
      </c>
      <c r="H104" s="12" t="str">
        <f t="shared" si="19"/>
        <v/>
      </c>
      <c r="I104" s="12" t="str">
        <f t="shared" si="21"/>
        <v/>
      </c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R1"/>
    <mergeCell ref="A2:R2"/>
    <mergeCell ref="K22:P25"/>
  </mergeCells>
  <dataValidations count="1">
    <dataValidation type="decimal" allowBlank="1" error="Solo se permiten valores numéricos." prompt="Ingresa un número." sqref="A5:B104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9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defaultColWidth="8.7109375" defaultRowHeight="15" customHeight="1" x14ac:dyDescent="0.25"/>
  <cols>
    <col min="1" max="2" width="12" customWidth="1"/>
    <col min="3" max="5" width="14" customWidth="1"/>
    <col min="6" max="6" width="16" customWidth="1"/>
    <col min="7" max="7" width="14" customWidth="1"/>
    <col min="8" max="17" width="13" customWidth="1"/>
  </cols>
  <sheetData>
    <row r="1" spans="1:14" ht="25.5" customHeight="1" x14ac:dyDescent="0.25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30" customHeight="1" x14ac:dyDescent="0.25">
      <c r="A2" s="3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customHeight="1" x14ac:dyDescent="0.25"/>
    <row r="4" spans="1:14" ht="19.5" customHeight="1" x14ac:dyDescent="0.25">
      <c r="A4" s="9" t="s">
        <v>17</v>
      </c>
      <c r="B4" s="9" t="s">
        <v>18</v>
      </c>
      <c r="C4" s="9" t="s">
        <v>50</v>
      </c>
      <c r="D4" s="9" t="s">
        <v>51</v>
      </c>
      <c r="E4" s="9" t="s">
        <v>52</v>
      </c>
      <c r="F4" s="9" t="s">
        <v>21</v>
      </c>
      <c r="G4" s="9" t="s">
        <v>22</v>
      </c>
      <c r="H4" s="5" t="s">
        <v>53</v>
      </c>
      <c r="I4" s="10">
        <f>COUNT(C5:C104)</f>
        <v>14</v>
      </c>
    </row>
    <row r="5" spans="1:14" ht="19.5" customHeight="1" x14ac:dyDescent="0.25">
      <c r="A5" s="11">
        <v>3</v>
      </c>
      <c r="B5" s="11">
        <v>3</v>
      </c>
      <c r="C5" s="12">
        <f t="shared" ref="C5:C36" si="0">IF(A5&gt;0,LN(A5),"")</f>
        <v>1.0986122886681098</v>
      </c>
      <c r="D5" s="12">
        <f t="shared" ref="D5:D36" si="1">IF(OR(C5="",B5=""),"",C5*B5)</f>
        <v>3.2958368660043291</v>
      </c>
      <c r="E5" s="12">
        <f t="shared" ref="E5:E36" si="2">IF(C5="","",C5^2)</f>
        <v>1.2069489608125821</v>
      </c>
      <c r="F5" s="12">
        <f t="shared" ref="F5:F36" si="3">IF(A5&gt;0,$I$11+$I$10*LN(A5),"")</f>
        <v>3.0000000000000044</v>
      </c>
      <c r="G5" s="12">
        <f t="shared" ref="G5:G36" si="4">IF(OR(B5="",F5=""),"",B5-F5)</f>
        <v>-4.4408920985006262E-15</v>
      </c>
      <c r="H5" s="7" t="s">
        <v>54</v>
      </c>
      <c r="I5" s="13">
        <f>SUM(C5:C104)</f>
        <v>15.668254113805315</v>
      </c>
    </row>
    <row r="6" spans="1:14" ht="19.5" customHeight="1" x14ac:dyDescent="0.25">
      <c r="A6" s="11">
        <v>3</v>
      </c>
      <c r="B6" s="11">
        <v>3</v>
      </c>
      <c r="C6" s="12">
        <f t="shared" si="0"/>
        <v>1.0986122886681098</v>
      </c>
      <c r="D6" s="12">
        <f t="shared" si="1"/>
        <v>3.2958368660043291</v>
      </c>
      <c r="E6" s="12">
        <f t="shared" si="2"/>
        <v>1.2069489608125821</v>
      </c>
      <c r="F6" s="12">
        <f t="shared" si="3"/>
        <v>3.0000000000000044</v>
      </c>
      <c r="G6" s="12">
        <f t="shared" si="4"/>
        <v>-4.4408920985006262E-15</v>
      </c>
      <c r="H6" s="7" t="s">
        <v>25</v>
      </c>
      <c r="I6" s="13">
        <f>SUM(B5:B104)</f>
        <v>43</v>
      </c>
    </row>
    <row r="7" spans="1:14" ht="19.5" customHeight="1" x14ac:dyDescent="0.25">
      <c r="A7" s="11">
        <v>3</v>
      </c>
      <c r="B7" s="11">
        <v>3</v>
      </c>
      <c r="C7" s="12">
        <f t="shared" si="0"/>
        <v>1.0986122886681098</v>
      </c>
      <c r="D7" s="12">
        <f t="shared" si="1"/>
        <v>3.2958368660043291</v>
      </c>
      <c r="E7" s="12">
        <f t="shared" si="2"/>
        <v>1.2069489608125821</v>
      </c>
      <c r="F7" s="12">
        <f t="shared" si="3"/>
        <v>3.0000000000000044</v>
      </c>
      <c r="G7" s="12">
        <f t="shared" si="4"/>
        <v>-4.4408920985006262E-15</v>
      </c>
      <c r="H7" s="7" t="s">
        <v>55</v>
      </c>
      <c r="I7" s="13">
        <f>SUM(D5:D104)</f>
        <v>48.391056702535842</v>
      </c>
    </row>
    <row r="8" spans="1:14" ht="19.5" customHeight="1" x14ac:dyDescent="0.25">
      <c r="A8" s="11">
        <v>3</v>
      </c>
      <c r="B8" s="11">
        <v>3</v>
      </c>
      <c r="C8" s="12">
        <f t="shared" si="0"/>
        <v>1.0986122886681098</v>
      </c>
      <c r="D8" s="12">
        <f t="shared" si="1"/>
        <v>3.2958368660043291</v>
      </c>
      <c r="E8" s="12">
        <f t="shared" si="2"/>
        <v>1.2069489608125821</v>
      </c>
      <c r="F8" s="12">
        <f t="shared" si="3"/>
        <v>3.0000000000000044</v>
      </c>
      <c r="G8" s="12">
        <f t="shared" si="4"/>
        <v>-4.4408920985006262E-15</v>
      </c>
      <c r="H8" s="7" t="s">
        <v>56</v>
      </c>
      <c r="I8" s="13">
        <f>SUM(E5:E104)</f>
        <v>17.612148546236373</v>
      </c>
    </row>
    <row r="9" spans="1:14" ht="19.5" customHeight="1" x14ac:dyDescent="0.25">
      <c r="A9" s="11">
        <v>3</v>
      </c>
      <c r="B9" s="11">
        <v>3</v>
      </c>
      <c r="C9" s="12">
        <f t="shared" si="0"/>
        <v>1.0986122886681098</v>
      </c>
      <c r="D9" s="12">
        <f t="shared" si="1"/>
        <v>3.2958368660043291</v>
      </c>
      <c r="E9" s="12">
        <f t="shared" si="2"/>
        <v>1.2069489608125821</v>
      </c>
      <c r="F9" s="12">
        <f t="shared" si="3"/>
        <v>3.0000000000000044</v>
      </c>
      <c r="G9" s="12">
        <f t="shared" si="4"/>
        <v>-4.4408920985006262E-15</v>
      </c>
      <c r="H9" s="8"/>
      <c r="I9" s="8"/>
    </row>
    <row r="10" spans="1:14" ht="19.5" customHeight="1" x14ac:dyDescent="0.25">
      <c r="A10" s="11">
        <v>3</v>
      </c>
      <c r="B10" s="11">
        <v>3</v>
      </c>
      <c r="C10" s="12">
        <f t="shared" si="0"/>
        <v>1.0986122886681098</v>
      </c>
      <c r="D10" s="12">
        <f t="shared" si="1"/>
        <v>3.2958368660043291</v>
      </c>
      <c r="E10" s="12">
        <f t="shared" si="2"/>
        <v>1.2069489608125821</v>
      </c>
      <c r="F10" s="12">
        <f t="shared" si="3"/>
        <v>3.0000000000000044</v>
      </c>
      <c r="G10" s="12">
        <f t="shared" si="4"/>
        <v>-4.4408920985006262E-15</v>
      </c>
      <c r="H10" s="7" t="s">
        <v>29</v>
      </c>
      <c r="I10" s="14">
        <f>IFERROR((I4*I7-I5*I6)/(I4*I8-I5^2),"")</f>
        <v>3.4760594967820393</v>
      </c>
    </row>
    <row r="11" spans="1:14" ht="19.5" customHeight="1" x14ac:dyDescent="0.25">
      <c r="A11" s="11">
        <v>3</v>
      </c>
      <c r="B11" s="11">
        <v>3</v>
      </c>
      <c r="C11" s="12">
        <f t="shared" si="0"/>
        <v>1.0986122886681098</v>
      </c>
      <c r="D11" s="12">
        <f t="shared" si="1"/>
        <v>3.2958368660043291</v>
      </c>
      <c r="E11" s="12">
        <f t="shared" si="2"/>
        <v>1.2069489608125821</v>
      </c>
      <c r="F11" s="12">
        <f t="shared" si="3"/>
        <v>3.0000000000000044</v>
      </c>
      <c r="G11" s="12">
        <f t="shared" si="4"/>
        <v>-4.4408920985006262E-15</v>
      </c>
      <c r="H11" s="7" t="s">
        <v>45</v>
      </c>
      <c r="I11" s="14">
        <f>IF(I4&gt;0,IFERROR((I6-I10*I5)/I4,""),"")</f>
        <v>-0.81884167930623009</v>
      </c>
    </row>
    <row r="12" spans="1:14" ht="19.5" customHeight="1" x14ac:dyDescent="0.25">
      <c r="A12" s="11">
        <v>3</v>
      </c>
      <c r="B12" s="11">
        <v>3</v>
      </c>
      <c r="C12" s="12">
        <f t="shared" si="0"/>
        <v>1.0986122886681098</v>
      </c>
      <c r="D12" s="12">
        <f t="shared" si="1"/>
        <v>3.2958368660043291</v>
      </c>
      <c r="E12" s="12">
        <f t="shared" si="2"/>
        <v>1.2069489608125821</v>
      </c>
      <c r="F12" s="12">
        <f t="shared" si="3"/>
        <v>3.0000000000000044</v>
      </c>
      <c r="G12" s="12">
        <f t="shared" si="4"/>
        <v>-4.4408920985006262E-15</v>
      </c>
      <c r="H12" s="8"/>
      <c r="I12" s="8"/>
    </row>
    <row r="13" spans="1:14" ht="19.5" customHeight="1" x14ac:dyDescent="0.25">
      <c r="A13" s="11">
        <v>3</v>
      </c>
      <c r="B13" s="11">
        <v>3</v>
      </c>
      <c r="C13" s="12">
        <f t="shared" si="0"/>
        <v>1.0986122886681098</v>
      </c>
      <c r="D13" s="12">
        <f t="shared" si="1"/>
        <v>3.2958368660043291</v>
      </c>
      <c r="E13" s="12">
        <f t="shared" si="2"/>
        <v>1.2069489608125821</v>
      </c>
      <c r="F13" s="12">
        <f t="shared" si="3"/>
        <v>3.0000000000000044</v>
      </c>
      <c r="G13" s="12">
        <f t="shared" si="4"/>
        <v>-4.4408920985006262E-15</v>
      </c>
      <c r="H13" s="7" t="s">
        <v>30</v>
      </c>
      <c r="I13" s="14">
        <f>SUMPRODUCT(G5:G104,G5:G104)</f>
        <v>2.2285320572493584E-27</v>
      </c>
    </row>
    <row r="14" spans="1:14" ht="19.5" customHeight="1" x14ac:dyDescent="0.25">
      <c r="A14" s="11">
        <v>3</v>
      </c>
      <c r="B14" s="11">
        <v>3</v>
      </c>
      <c r="C14" s="12">
        <f t="shared" si="0"/>
        <v>1.0986122886681098</v>
      </c>
      <c r="D14" s="12">
        <f t="shared" si="1"/>
        <v>3.2958368660043291</v>
      </c>
      <c r="E14" s="12">
        <f t="shared" si="2"/>
        <v>1.2069489608125821</v>
      </c>
      <c r="F14" s="12">
        <f t="shared" si="3"/>
        <v>3.0000000000000044</v>
      </c>
      <c r="G14" s="12">
        <f t="shared" si="4"/>
        <v>-4.4408920985006262E-15</v>
      </c>
      <c r="H14" s="7" t="s">
        <v>31</v>
      </c>
      <c r="I14" s="14">
        <f>IF(COUNT(B5:B104)&gt;1,IFERROR(1-I13/DEVSQ(B5:B104),""),"")</f>
        <v>1</v>
      </c>
    </row>
    <row r="15" spans="1:14" ht="19.5" customHeight="1" x14ac:dyDescent="0.25">
      <c r="A15" s="11">
        <v>3</v>
      </c>
      <c r="B15" s="11">
        <v>3</v>
      </c>
      <c r="C15" s="12">
        <f t="shared" si="0"/>
        <v>1.0986122886681098</v>
      </c>
      <c r="D15" s="12">
        <f t="shared" si="1"/>
        <v>3.2958368660043291</v>
      </c>
      <c r="E15" s="12">
        <f t="shared" si="2"/>
        <v>1.2069489608125821</v>
      </c>
      <c r="F15" s="12">
        <f t="shared" si="3"/>
        <v>3.0000000000000044</v>
      </c>
      <c r="G15" s="12">
        <f t="shared" si="4"/>
        <v>-4.4408920985006262E-15</v>
      </c>
      <c r="H15" s="8"/>
      <c r="I15" s="8"/>
    </row>
    <row r="16" spans="1:14" ht="19.5" customHeight="1" x14ac:dyDescent="0.25">
      <c r="A16" s="11">
        <v>3</v>
      </c>
      <c r="B16" s="11">
        <v>3</v>
      </c>
      <c r="C16" s="12">
        <f t="shared" si="0"/>
        <v>1.0986122886681098</v>
      </c>
      <c r="D16" s="12">
        <f t="shared" si="1"/>
        <v>3.2958368660043291</v>
      </c>
      <c r="E16" s="12">
        <f t="shared" si="2"/>
        <v>1.2069489608125821</v>
      </c>
      <c r="F16" s="12">
        <f t="shared" si="3"/>
        <v>3.0000000000000044</v>
      </c>
      <c r="G16" s="12">
        <f t="shared" si="4"/>
        <v>-4.4408920985006262E-15</v>
      </c>
      <c r="H16" s="7" t="s">
        <v>32</v>
      </c>
      <c r="I16" s="8" t="str">
        <f>IF(OR(I10="",I11=""),"","y = "&amp;TEXT(I11,"0.000000")&amp;" + "&amp;TEXT(I10,"0.000000")&amp;" ln(x)")</f>
        <v>y = -0.000.001 + 0.000.003 ln(x)</v>
      </c>
    </row>
    <row r="17" spans="1:9" ht="19.5" customHeight="1" x14ac:dyDescent="0.25">
      <c r="A17" s="11">
        <v>3</v>
      </c>
      <c r="B17" s="11">
        <v>3</v>
      </c>
      <c r="C17" s="12">
        <f t="shared" si="0"/>
        <v>1.0986122886681098</v>
      </c>
      <c r="D17" s="12">
        <f t="shared" si="1"/>
        <v>3.2958368660043291</v>
      </c>
      <c r="E17" s="12">
        <f t="shared" si="2"/>
        <v>1.2069489608125821</v>
      </c>
      <c r="F17" s="12">
        <f t="shared" si="3"/>
        <v>3.0000000000000044</v>
      </c>
      <c r="G17" s="12">
        <f t="shared" si="4"/>
        <v>-4.4408920985006262E-15</v>
      </c>
      <c r="H17" s="8"/>
      <c r="I17" s="8"/>
    </row>
    <row r="18" spans="1:9" ht="24" customHeight="1" x14ac:dyDescent="0.25">
      <c r="A18" s="11">
        <v>4</v>
      </c>
      <c r="B18" s="11">
        <v>4</v>
      </c>
      <c r="C18" s="12">
        <f t="shared" si="0"/>
        <v>1.3862943611198906</v>
      </c>
      <c r="D18" s="12">
        <f t="shared" si="1"/>
        <v>5.5451774444795623</v>
      </c>
      <c r="E18" s="12">
        <f t="shared" si="2"/>
        <v>1.9218120556728056</v>
      </c>
      <c r="F18" s="12">
        <f t="shared" si="3"/>
        <v>3.9999999999999556</v>
      </c>
      <c r="G18" s="12">
        <f t="shared" si="4"/>
        <v>4.4408920985006262E-14</v>
      </c>
      <c r="H18" s="2" t="s">
        <v>57</v>
      </c>
      <c r="I18" s="2"/>
    </row>
    <row r="19" spans="1:9" ht="24" customHeight="1" x14ac:dyDescent="0.25">
      <c r="A19" s="11"/>
      <c r="B19" s="11"/>
      <c r="C19" s="12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12" t="str">
        <f t="shared" si="4"/>
        <v/>
      </c>
      <c r="H19" s="2"/>
      <c r="I19" s="2"/>
    </row>
    <row r="20" spans="1:9" ht="24" customHeight="1" x14ac:dyDescent="0.25">
      <c r="A20" s="11"/>
      <c r="B20" s="11"/>
      <c r="C20" s="12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12" t="str">
        <f t="shared" si="4"/>
        <v/>
      </c>
      <c r="H20" s="2"/>
      <c r="I20" s="2"/>
    </row>
    <row r="21" spans="1:9" ht="24" customHeight="1" x14ac:dyDescent="0.25">
      <c r="A21" s="11"/>
      <c r="B21" s="11"/>
      <c r="C21" s="12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12" t="str">
        <f t="shared" si="4"/>
        <v/>
      </c>
      <c r="H21" s="2"/>
      <c r="I21" s="2"/>
    </row>
    <row r="22" spans="1:9" ht="19.5" customHeight="1" x14ac:dyDescent="0.25">
      <c r="A22" s="11"/>
      <c r="B22" s="11"/>
      <c r="C22" s="12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12" t="str">
        <f t="shared" si="4"/>
        <v/>
      </c>
      <c r="H22" s="8"/>
      <c r="I22" s="8"/>
    </row>
    <row r="23" spans="1:9" ht="19.5" customHeight="1" x14ac:dyDescent="0.25">
      <c r="A23" s="11"/>
      <c r="B23" s="11"/>
      <c r="C23" s="12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12" t="str">
        <f t="shared" si="4"/>
        <v/>
      </c>
      <c r="H23" s="8"/>
      <c r="I23" s="8"/>
    </row>
    <row r="24" spans="1:9" ht="19.5" customHeight="1" x14ac:dyDescent="0.25">
      <c r="A24" s="11"/>
      <c r="B24" s="11"/>
      <c r="C24" s="12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12" t="str">
        <f t="shared" si="4"/>
        <v/>
      </c>
      <c r="H24" s="8"/>
      <c r="I24" s="8"/>
    </row>
    <row r="25" spans="1:9" ht="19.5" customHeight="1" x14ac:dyDescent="0.25">
      <c r="A25" s="11"/>
      <c r="B25" s="11"/>
      <c r="C25" s="12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12" t="str">
        <f t="shared" si="4"/>
        <v/>
      </c>
      <c r="H25" s="8"/>
      <c r="I25" s="8"/>
    </row>
    <row r="26" spans="1:9" ht="19.5" customHeight="1" x14ac:dyDescent="0.25">
      <c r="A26" s="11"/>
      <c r="B26" s="11"/>
      <c r="C26" s="12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12" t="str">
        <f t="shared" si="4"/>
        <v/>
      </c>
      <c r="H26" s="8"/>
      <c r="I26" s="8"/>
    </row>
    <row r="27" spans="1:9" ht="19.5" customHeight="1" x14ac:dyDescent="0.25">
      <c r="A27" s="11"/>
      <c r="B27" s="11"/>
      <c r="C27" s="12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12" t="str">
        <f t="shared" si="4"/>
        <v/>
      </c>
      <c r="H27" s="8"/>
      <c r="I27" s="8"/>
    </row>
    <row r="28" spans="1:9" ht="19.5" customHeight="1" x14ac:dyDescent="0.25">
      <c r="A28" s="11"/>
      <c r="B28" s="11"/>
      <c r="C28" s="12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12" t="str">
        <f t="shared" si="4"/>
        <v/>
      </c>
      <c r="H28" s="8"/>
      <c r="I28" s="8"/>
    </row>
    <row r="29" spans="1:9" ht="19.5" customHeight="1" x14ac:dyDescent="0.25">
      <c r="A29" s="11"/>
      <c r="B29" s="11"/>
      <c r="C29" s="12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12" t="str">
        <f t="shared" si="4"/>
        <v/>
      </c>
      <c r="H29" s="8"/>
      <c r="I29" s="8"/>
    </row>
    <row r="30" spans="1:9" ht="19.5" customHeight="1" x14ac:dyDescent="0.25">
      <c r="A30" s="11"/>
      <c r="B30" s="11"/>
      <c r="C30" s="12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12" t="str">
        <f t="shared" si="4"/>
        <v/>
      </c>
      <c r="H30" s="8"/>
      <c r="I30" s="8"/>
    </row>
    <row r="31" spans="1:9" ht="19.5" customHeight="1" x14ac:dyDescent="0.25">
      <c r="A31" s="11"/>
      <c r="B31" s="11"/>
      <c r="C31" s="12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12" t="str">
        <f t="shared" si="4"/>
        <v/>
      </c>
      <c r="H31" s="8"/>
      <c r="I31" s="8"/>
    </row>
    <row r="32" spans="1:9" ht="19.5" customHeight="1" x14ac:dyDescent="0.25">
      <c r="A32" s="11"/>
      <c r="B32" s="11"/>
      <c r="C32" s="12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12" t="str">
        <f t="shared" si="4"/>
        <v/>
      </c>
      <c r="H32" s="8"/>
      <c r="I32" s="8"/>
    </row>
    <row r="33" spans="1:9" ht="19.5" customHeight="1" x14ac:dyDescent="0.25">
      <c r="A33" s="11"/>
      <c r="B33" s="11"/>
      <c r="C33" s="12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12" t="str">
        <f t="shared" si="4"/>
        <v/>
      </c>
      <c r="H33" s="8"/>
      <c r="I33" s="8"/>
    </row>
    <row r="34" spans="1:9" ht="19.5" customHeight="1" x14ac:dyDescent="0.25">
      <c r="A34" s="11"/>
      <c r="B34" s="11"/>
      <c r="C34" s="12" t="str">
        <f t="shared" si="0"/>
        <v/>
      </c>
      <c r="D34" s="12" t="str">
        <f t="shared" si="1"/>
        <v/>
      </c>
      <c r="E34" s="12" t="str">
        <f t="shared" si="2"/>
        <v/>
      </c>
      <c r="F34" s="12" t="str">
        <f t="shared" si="3"/>
        <v/>
      </c>
      <c r="G34" s="12" t="str">
        <f t="shared" si="4"/>
        <v/>
      </c>
      <c r="H34" s="8"/>
      <c r="I34" s="8"/>
    </row>
    <row r="35" spans="1:9" ht="19.5" customHeight="1" x14ac:dyDescent="0.25">
      <c r="A35" s="11"/>
      <c r="B35" s="11"/>
      <c r="C35" s="12" t="str">
        <f t="shared" si="0"/>
        <v/>
      </c>
      <c r="D35" s="12" t="str">
        <f t="shared" si="1"/>
        <v/>
      </c>
      <c r="E35" s="12" t="str">
        <f t="shared" si="2"/>
        <v/>
      </c>
      <c r="F35" s="12" t="str">
        <f t="shared" si="3"/>
        <v/>
      </c>
      <c r="G35" s="12" t="str">
        <f t="shared" si="4"/>
        <v/>
      </c>
      <c r="H35" s="8"/>
      <c r="I35" s="8"/>
    </row>
    <row r="36" spans="1:9" ht="19.5" customHeight="1" x14ac:dyDescent="0.25">
      <c r="A36" s="11"/>
      <c r="B36" s="11"/>
      <c r="C36" s="12" t="str">
        <f t="shared" si="0"/>
        <v/>
      </c>
      <c r="D36" s="12" t="str">
        <f t="shared" si="1"/>
        <v/>
      </c>
      <c r="E36" s="12" t="str">
        <f t="shared" si="2"/>
        <v/>
      </c>
      <c r="F36" s="12" t="str">
        <f t="shared" si="3"/>
        <v/>
      </c>
      <c r="G36" s="12" t="str">
        <f t="shared" si="4"/>
        <v/>
      </c>
      <c r="H36" s="8"/>
      <c r="I36" s="8"/>
    </row>
    <row r="37" spans="1:9" ht="19.5" customHeight="1" x14ac:dyDescent="0.25">
      <c r="A37" s="11"/>
      <c r="B37" s="11"/>
      <c r="C37" s="12" t="str">
        <f t="shared" ref="C37:C68" si="5">IF(A37&gt;0,LN(A37),"")</f>
        <v/>
      </c>
      <c r="D37" s="12" t="str">
        <f t="shared" ref="D37:D68" si="6">IF(OR(C37="",B37=""),"",C37*B37)</f>
        <v/>
      </c>
      <c r="E37" s="12" t="str">
        <f t="shared" ref="E37:E68" si="7">IF(C37="","",C37^2)</f>
        <v/>
      </c>
      <c r="F37" s="12" t="str">
        <f t="shared" ref="F37:F68" si="8">IF(A37&gt;0,$I$11+$I$10*LN(A37),"")</f>
        <v/>
      </c>
      <c r="G37" s="12" t="str">
        <f t="shared" ref="G37:G68" si="9">IF(OR(B37="",F37=""),"",B37-F37)</f>
        <v/>
      </c>
      <c r="H37" s="8"/>
      <c r="I37" s="8"/>
    </row>
    <row r="38" spans="1:9" ht="19.5" customHeight="1" x14ac:dyDescent="0.25">
      <c r="A38" s="11"/>
      <c r="B38" s="11"/>
      <c r="C38" s="12" t="str">
        <f t="shared" si="5"/>
        <v/>
      </c>
      <c r="D38" s="12" t="str">
        <f t="shared" si="6"/>
        <v/>
      </c>
      <c r="E38" s="12" t="str">
        <f t="shared" si="7"/>
        <v/>
      </c>
      <c r="F38" s="12" t="str">
        <f t="shared" si="8"/>
        <v/>
      </c>
      <c r="G38" s="12" t="str">
        <f t="shared" si="9"/>
        <v/>
      </c>
      <c r="H38" s="8"/>
      <c r="I38" s="8"/>
    </row>
    <row r="39" spans="1:9" ht="19.5" customHeight="1" x14ac:dyDescent="0.25">
      <c r="A39" s="11"/>
      <c r="B39" s="11"/>
      <c r="C39" s="12" t="str">
        <f t="shared" si="5"/>
        <v/>
      </c>
      <c r="D39" s="12" t="str">
        <f t="shared" si="6"/>
        <v/>
      </c>
      <c r="E39" s="12" t="str">
        <f t="shared" si="7"/>
        <v/>
      </c>
      <c r="F39" s="12" t="str">
        <f t="shared" si="8"/>
        <v/>
      </c>
      <c r="G39" s="12" t="str">
        <f t="shared" si="9"/>
        <v/>
      </c>
      <c r="H39" s="8"/>
      <c r="I39" s="8"/>
    </row>
    <row r="40" spans="1:9" ht="19.5" customHeight="1" x14ac:dyDescent="0.25">
      <c r="A40" s="11"/>
      <c r="B40" s="11"/>
      <c r="C40" s="12" t="str">
        <f t="shared" si="5"/>
        <v/>
      </c>
      <c r="D40" s="12" t="str">
        <f t="shared" si="6"/>
        <v/>
      </c>
      <c r="E40" s="12" t="str">
        <f t="shared" si="7"/>
        <v/>
      </c>
      <c r="F40" s="12" t="str">
        <f t="shared" si="8"/>
        <v/>
      </c>
      <c r="G40" s="12" t="str">
        <f t="shared" si="9"/>
        <v/>
      </c>
      <c r="H40" s="8"/>
      <c r="I40" s="8"/>
    </row>
    <row r="41" spans="1:9" ht="19.5" customHeight="1" x14ac:dyDescent="0.25">
      <c r="A41" s="11"/>
      <c r="B41" s="11"/>
      <c r="C41" s="12" t="str">
        <f t="shared" si="5"/>
        <v/>
      </c>
      <c r="D41" s="12" t="str">
        <f t="shared" si="6"/>
        <v/>
      </c>
      <c r="E41" s="12" t="str">
        <f t="shared" si="7"/>
        <v/>
      </c>
      <c r="F41" s="12" t="str">
        <f t="shared" si="8"/>
        <v/>
      </c>
      <c r="G41" s="12" t="str">
        <f t="shared" si="9"/>
        <v/>
      </c>
      <c r="H41" s="8"/>
      <c r="I41" s="8"/>
    </row>
    <row r="42" spans="1:9" ht="19.5" customHeight="1" x14ac:dyDescent="0.25">
      <c r="A42" s="11"/>
      <c r="B42" s="11"/>
      <c r="C42" s="12" t="str">
        <f t="shared" si="5"/>
        <v/>
      </c>
      <c r="D42" s="12" t="str">
        <f t="shared" si="6"/>
        <v/>
      </c>
      <c r="E42" s="12" t="str">
        <f t="shared" si="7"/>
        <v/>
      </c>
      <c r="F42" s="12" t="str">
        <f t="shared" si="8"/>
        <v/>
      </c>
      <c r="G42" s="12" t="str">
        <f t="shared" si="9"/>
        <v/>
      </c>
      <c r="H42" s="8"/>
      <c r="I42" s="8"/>
    </row>
    <row r="43" spans="1:9" ht="19.5" customHeight="1" x14ac:dyDescent="0.25">
      <c r="A43" s="11"/>
      <c r="B43" s="11"/>
      <c r="C43" s="12" t="str">
        <f t="shared" si="5"/>
        <v/>
      </c>
      <c r="D43" s="12" t="str">
        <f t="shared" si="6"/>
        <v/>
      </c>
      <c r="E43" s="12" t="str">
        <f t="shared" si="7"/>
        <v/>
      </c>
      <c r="F43" s="12" t="str">
        <f t="shared" si="8"/>
        <v/>
      </c>
      <c r="G43" s="12" t="str">
        <f t="shared" si="9"/>
        <v/>
      </c>
      <c r="H43" s="8"/>
      <c r="I43" s="8"/>
    </row>
    <row r="44" spans="1:9" ht="19.5" customHeight="1" x14ac:dyDescent="0.25">
      <c r="A44" s="11"/>
      <c r="B44" s="11"/>
      <c r="C44" s="12" t="str">
        <f t="shared" si="5"/>
        <v/>
      </c>
      <c r="D44" s="12" t="str">
        <f t="shared" si="6"/>
        <v/>
      </c>
      <c r="E44" s="12" t="str">
        <f t="shared" si="7"/>
        <v/>
      </c>
      <c r="F44" s="12" t="str">
        <f t="shared" si="8"/>
        <v/>
      </c>
      <c r="G44" s="12" t="str">
        <f t="shared" si="9"/>
        <v/>
      </c>
      <c r="H44" s="8"/>
      <c r="I44" s="8"/>
    </row>
    <row r="45" spans="1:9" ht="19.5" customHeight="1" x14ac:dyDescent="0.25">
      <c r="A45" s="11"/>
      <c r="B45" s="11"/>
      <c r="C45" s="12" t="str">
        <f t="shared" si="5"/>
        <v/>
      </c>
      <c r="D45" s="12" t="str">
        <f t="shared" si="6"/>
        <v/>
      </c>
      <c r="E45" s="12" t="str">
        <f t="shared" si="7"/>
        <v/>
      </c>
      <c r="F45" s="12" t="str">
        <f t="shared" si="8"/>
        <v/>
      </c>
      <c r="G45" s="12" t="str">
        <f t="shared" si="9"/>
        <v/>
      </c>
      <c r="H45" s="8"/>
      <c r="I45" s="8"/>
    </row>
    <row r="46" spans="1:9" ht="19.5" customHeight="1" x14ac:dyDescent="0.25">
      <c r="A46" s="11"/>
      <c r="B46" s="11"/>
      <c r="C46" s="12" t="str">
        <f t="shared" si="5"/>
        <v/>
      </c>
      <c r="D46" s="12" t="str">
        <f t="shared" si="6"/>
        <v/>
      </c>
      <c r="E46" s="12" t="str">
        <f t="shared" si="7"/>
        <v/>
      </c>
      <c r="F46" s="12" t="str">
        <f t="shared" si="8"/>
        <v/>
      </c>
      <c r="G46" s="12" t="str">
        <f t="shared" si="9"/>
        <v/>
      </c>
      <c r="H46" s="8"/>
      <c r="I46" s="8"/>
    </row>
    <row r="47" spans="1:9" ht="19.5" customHeight="1" x14ac:dyDescent="0.25">
      <c r="A47" s="11"/>
      <c r="B47" s="11"/>
      <c r="C47" s="12" t="str">
        <f t="shared" si="5"/>
        <v/>
      </c>
      <c r="D47" s="12" t="str">
        <f t="shared" si="6"/>
        <v/>
      </c>
      <c r="E47" s="12" t="str">
        <f t="shared" si="7"/>
        <v/>
      </c>
      <c r="F47" s="12" t="str">
        <f t="shared" si="8"/>
        <v/>
      </c>
      <c r="G47" s="12" t="str">
        <f t="shared" si="9"/>
        <v/>
      </c>
      <c r="H47" s="8"/>
      <c r="I47" s="8"/>
    </row>
    <row r="48" spans="1:9" ht="19.5" customHeight="1" x14ac:dyDescent="0.25">
      <c r="A48" s="11"/>
      <c r="B48" s="11"/>
      <c r="C48" s="12" t="str">
        <f t="shared" si="5"/>
        <v/>
      </c>
      <c r="D48" s="12" t="str">
        <f t="shared" si="6"/>
        <v/>
      </c>
      <c r="E48" s="12" t="str">
        <f t="shared" si="7"/>
        <v/>
      </c>
      <c r="F48" s="12" t="str">
        <f t="shared" si="8"/>
        <v/>
      </c>
      <c r="G48" s="12" t="str">
        <f t="shared" si="9"/>
        <v/>
      </c>
      <c r="H48" s="8"/>
      <c r="I48" s="8"/>
    </row>
    <row r="49" spans="1:9" ht="19.5" customHeight="1" x14ac:dyDescent="0.25">
      <c r="A49" s="11"/>
      <c r="B49" s="11"/>
      <c r="C49" s="12" t="str">
        <f t="shared" si="5"/>
        <v/>
      </c>
      <c r="D49" s="12" t="str">
        <f t="shared" si="6"/>
        <v/>
      </c>
      <c r="E49" s="12" t="str">
        <f t="shared" si="7"/>
        <v/>
      </c>
      <c r="F49" s="12" t="str">
        <f t="shared" si="8"/>
        <v/>
      </c>
      <c r="G49" s="12" t="str">
        <f t="shared" si="9"/>
        <v/>
      </c>
      <c r="H49" s="8"/>
      <c r="I49" s="8"/>
    </row>
    <row r="50" spans="1:9" ht="19.5" customHeight="1" x14ac:dyDescent="0.25">
      <c r="A50" s="11"/>
      <c r="B50" s="11"/>
      <c r="C50" s="12" t="str">
        <f t="shared" si="5"/>
        <v/>
      </c>
      <c r="D50" s="12" t="str">
        <f t="shared" si="6"/>
        <v/>
      </c>
      <c r="E50" s="12" t="str">
        <f t="shared" si="7"/>
        <v/>
      </c>
      <c r="F50" s="12" t="str">
        <f t="shared" si="8"/>
        <v/>
      </c>
      <c r="G50" s="12" t="str">
        <f t="shared" si="9"/>
        <v/>
      </c>
      <c r="H50" s="8"/>
      <c r="I50" s="8"/>
    </row>
    <row r="51" spans="1:9" ht="19.5" customHeight="1" x14ac:dyDescent="0.25">
      <c r="A51" s="11"/>
      <c r="B51" s="11"/>
      <c r="C51" s="12" t="str">
        <f t="shared" si="5"/>
        <v/>
      </c>
      <c r="D51" s="12" t="str">
        <f t="shared" si="6"/>
        <v/>
      </c>
      <c r="E51" s="12" t="str">
        <f t="shared" si="7"/>
        <v/>
      </c>
      <c r="F51" s="12" t="str">
        <f t="shared" si="8"/>
        <v/>
      </c>
      <c r="G51" s="12" t="str">
        <f t="shared" si="9"/>
        <v/>
      </c>
      <c r="H51" s="8"/>
      <c r="I51" s="8"/>
    </row>
    <row r="52" spans="1:9" ht="19.5" customHeight="1" x14ac:dyDescent="0.25">
      <c r="A52" s="11"/>
      <c r="B52" s="11"/>
      <c r="C52" s="12" t="str">
        <f t="shared" si="5"/>
        <v/>
      </c>
      <c r="D52" s="12" t="str">
        <f t="shared" si="6"/>
        <v/>
      </c>
      <c r="E52" s="12" t="str">
        <f t="shared" si="7"/>
        <v/>
      </c>
      <c r="F52" s="12" t="str">
        <f t="shared" si="8"/>
        <v/>
      </c>
      <c r="G52" s="12" t="str">
        <f t="shared" si="9"/>
        <v/>
      </c>
      <c r="H52" s="8"/>
      <c r="I52" s="8"/>
    </row>
    <row r="53" spans="1:9" ht="19.5" customHeight="1" x14ac:dyDescent="0.25">
      <c r="A53" s="11"/>
      <c r="B53" s="11"/>
      <c r="C53" s="12" t="str">
        <f t="shared" si="5"/>
        <v/>
      </c>
      <c r="D53" s="12" t="str">
        <f t="shared" si="6"/>
        <v/>
      </c>
      <c r="E53" s="12" t="str">
        <f t="shared" si="7"/>
        <v/>
      </c>
      <c r="F53" s="12" t="str">
        <f t="shared" si="8"/>
        <v/>
      </c>
      <c r="G53" s="12" t="str">
        <f t="shared" si="9"/>
        <v/>
      </c>
      <c r="H53" s="8"/>
      <c r="I53" s="8"/>
    </row>
    <row r="54" spans="1:9" ht="19.5" customHeight="1" x14ac:dyDescent="0.25">
      <c r="A54" s="11"/>
      <c r="B54" s="11"/>
      <c r="C54" s="12" t="str">
        <f t="shared" si="5"/>
        <v/>
      </c>
      <c r="D54" s="12" t="str">
        <f t="shared" si="6"/>
        <v/>
      </c>
      <c r="E54" s="12" t="str">
        <f t="shared" si="7"/>
        <v/>
      </c>
      <c r="F54" s="12" t="str">
        <f t="shared" si="8"/>
        <v/>
      </c>
      <c r="G54" s="12" t="str">
        <f t="shared" si="9"/>
        <v/>
      </c>
      <c r="H54" s="8"/>
      <c r="I54" s="8"/>
    </row>
    <row r="55" spans="1:9" ht="19.5" customHeight="1" x14ac:dyDescent="0.25">
      <c r="A55" s="11"/>
      <c r="B55" s="11"/>
      <c r="C55" s="12" t="str">
        <f t="shared" si="5"/>
        <v/>
      </c>
      <c r="D55" s="12" t="str">
        <f t="shared" si="6"/>
        <v/>
      </c>
      <c r="E55" s="12" t="str">
        <f t="shared" si="7"/>
        <v/>
      </c>
      <c r="F55" s="12" t="str">
        <f t="shared" si="8"/>
        <v/>
      </c>
      <c r="G55" s="12" t="str">
        <f t="shared" si="9"/>
        <v/>
      </c>
      <c r="H55" s="8"/>
      <c r="I55" s="8"/>
    </row>
    <row r="56" spans="1:9" ht="19.5" customHeight="1" x14ac:dyDescent="0.25">
      <c r="A56" s="11"/>
      <c r="B56" s="11"/>
      <c r="C56" s="12" t="str">
        <f t="shared" si="5"/>
        <v/>
      </c>
      <c r="D56" s="12" t="str">
        <f t="shared" si="6"/>
        <v/>
      </c>
      <c r="E56" s="12" t="str">
        <f t="shared" si="7"/>
        <v/>
      </c>
      <c r="F56" s="12" t="str">
        <f t="shared" si="8"/>
        <v/>
      </c>
      <c r="G56" s="12" t="str">
        <f t="shared" si="9"/>
        <v/>
      </c>
      <c r="H56" s="8"/>
      <c r="I56" s="8"/>
    </row>
    <row r="57" spans="1:9" ht="19.5" customHeight="1" x14ac:dyDescent="0.25">
      <c r="A57" s="11"/>
      <c r="B57" s="11"/>
      <c r="C57" s="12" t="str">
        <f t="shared" si="5"/>
        <v/>
      </c>
      <c r="D57" s="12" t="str">
        <f t="shared" si="6"/>
        <v/>
      </c>
      <c r="E57" s="12" t="str">
        <f t="shared" si="7"/>
        <v/>
      </c>
      <c r="F57" s="12" t="str">
        <f t="shared" si="8"/>
        <v/>
      </c>
      <c r="G57" s="12" t="str">
        <f t="shared" si="9"/>
        <v/>
      </c>
      <c r="H57" s="8"/>
      <c r="I57" s="8"/>
    </row>
    <row r="58" spans="1:9" ht="19.5" customHeight="1" x14ac:dyDescent="0.25">
      <c r="A58" s="11"/>
      <c r="B58" s="11"/>
      <c r="C58" s="12" t="str">
        <f t="shared" si="5"/>
        <v/>
      </c>
      <c r="D58" s="12" t="str">
        <f t="shared" si="6"/>
        <v/>
      </c>
      <c r="E58" s="12" t="str">
        <f t="shared" si="7"/>
        <v/>
      </c>
      <c r="F58" s="12" t="str">
        <f t="shared" si="8"/>
        <v/>
      </c>
      <c r="G58" s="12" t="str">
        <f t="shared" si="9"/>
        <v/>
      </c>
      <c r="H58" s="8"/>
      <c r="I58" s="8"/>
    </row>
    <row r="59" spans="1:9" ht="19.5" customHeight="1" x14ac:dyDescent="0.25">
      <c r="A59" s="11"/>
      <c r="B59" s="11"/>
      <c r="C59" s="12" t="str">
        <f t="shared" si="5"/>
        <v/>
      </c>
      <c r="D59" s="12" t="str">
        <f t="shared" si="6"/>
        <v/>
      </c>
      <c r="E59" s="12" t="str">
        <f t="shared" si="7"/>
        <v/>
      </c>
      <c r="F59" s="12" t="str">
        <f t="shared" si="8"/>
        <v/>
      </c>
      <c r="G59" s="12" t="str">
        <f t="shared" si="9"/>
        <v/>
      </c>
      <c r="H59" s="8"/>
      <c r="I59" s="8"/>
    </row>
    <row r="60" spans="1:9" ht="19.5" customHeight="1" x14ac:dyDescent="0.25">
      <c r="A60" s="11"/>
      <c r="B60" s="11"/>
      <c r="C60" s="12" t="str">
        <f t="shared" si="5"/>
        <v/>
      </c>
      <c r="D60" s="12" t="str">
        <f t="shared" si="6"/>
        <v/>
      </c>
      <c r="E60" s="12" t="str">
        <f t="shared" si="7"/>
        <v/>
      </c>
      <c r="F60" s="12" t="str">
        <f t="shared" si="8"/>
        <v/>
      </c>
      <c r="G60" s="12" t="str">
        <f t="shared" si="9"/>
        <v/>
      </c>
      <c r="H60" s="8"/>
      <c r="I60" s="8"/>
    </row>
    <row r="61" spans="1:9" ht="19.5" customHeight="1" x14ac:dyDescent="0.25">
      <c r="A61" s="11"/>
      <c r="B61" s="11"/>
      <c r="C61" s="12" t="str">
        <f t="shared" si="5"/>
        <v/>
      </c>
      <c r="D61" s="12" t="str">
        <f t="shared" si="6"/>
        <v/>
      </c>
      <c r="E61" s="12" t="str">
        <f t="shared" si="7"/>
        <v/>
      </c>
      <c r="F61" s="12" t="str">
        <f t="shared" si="8"/>
        <v/>
      </c>
      <c r="G61" s="12" t="str">
        <f t="shared" si="9"/>
        <v/>
      </c>
      <c r="H61" s="8"/>
      <c r="I61" s="8"/>
    </row>
    <row r="62" spans="1:9" ht="19.5" customHeight="1" x14ac:dyDescent="0.25">
      <c r="A62" s="11"/>
      <c r="B62" s="11"/>
      <c r="C62" s="12" t="str">
        <f t="shared" si="5"/>
        <v/>
      </c>
      <c r="D62" s="12" t="str">
        <f t="shared" si="6"/>
        <v/>
      </c>
      <c r="E62" s="12" t="str">
        <f t="shared" si="7"/>
        <v/>
      </c>
      <c r="F62" s="12" t="str">
        <f t="shared" si="8"/>
        <v/>
      </c>
      <c r="G62" s="12" t="str">
        <f t="shared" si="9"/>
        <v/>
      </c>
      <c r="H62" s="8"/>
      <c r="I62" s="8"/>
    </row>
    <row r="63" spans="1:9" ht="19.5" customHeight="1" x14ac:dyDescent="0.25">
      <c r="A63" s="11"/>
      <c r="B63" s="11"/>
      <c r="C63" s="12" t="str">
        <f t="shared" si="5"/>
        <v/>
      </c>
      <c r="D63" s="12" t="str">
        <f t="shared" si="6"/>
        <v/>
      </c>
      <c r="E63" s="12" t="str">
        <f t="shared" si="7"/>
        <v/>
      </c>
      <c r="F63" s="12" t="str">
        <f t="shared" si="8"/>
        <v/>
      </c>
      <c r="G63" s="12" t="str">
        <f t="shared" si="9"/>
        <v/>
      </c>
      <c r="H63" s="8"/>
      <c r="I63" s="8"/>
    </row>
    <row r="64" spans="1:9" ht="19.5" customHeight="1" x14ac:dyDescent="0.25">
      <c r="A64" s="11"/>
      <c r="B64" s="11"/>
      <c r="C64" s="12" t="str">
        <f t="shared" si="5"/>
        <v/>
      </c>
      <c r="D64" s="12" t="str">
        <f t="shared" si="6"/>
        <v/>
      </c>
      <c r="E64" s="12" t="str">
        <f t="shared" si="7"/>
        <v/>
      </c>
      <c r="F64" s="12" t="str">
        <f t="shared" si="8"/>
        <v/>
      </c>
      <c r="G64" s="12" t="str">
        <f t="shared" si="9"/>
        <v/>
      </c>
      <c r="H64" s="8"/>
      <c r="I64" s="8"/>
    </row>
    <row r="65" spans="1:9" ht="19.5" customHeight="1" x14ac:dyDescent="0.25">
      <c r="A65" s="11"/>
      <c r="B65" s="11"/>
      <c r="C65" s="12" t="str">
        <f t="shared" si="5"/>
        <v/>
      </c>
      <c r="D65" s="12" t="str">
        <f t="shared" si="6"/>
        <v/>
      </c>
      <c r="E65" s="12" t="str">
        <f t="shared" si="7"/>
        <v/>
      </c>
      <c r="F65" s="12" t="str">
        <f t="shared" si="8"/>
        <v/>
      </c>
      <c r="G65" s="12" t="str">
        <f t="shared" si="9"/>
        <v/>
      </c>
      <c r="H65" s="8"/>
      <c r="I65" s="8"/>
    </row>
    <row r="66" spans="1:9" ht="19.5" customHeight="1" x14ac:dyDescent="0.25">
      <c r="A66" s="11"/>
      <c r="B66" s="11"/>
      <c r="C66" s="12" t="str">
        <f t="shared" si="5"/>
        <v/>
      </c>
      <c r="D66" s="12" t="str">
        <f t="shared" si="6"/>
        <v/>
      </c>
      <c r="E66" s="12" t="str">
        <f t="shared" si="7"/>
        <v/>
      </c>
      <c r="F66" s="12" t="str">
        <f t="shared" si="8"/>
        <v/>
      </c>
      <c r="G66" s="12" t="str">
        <f t="shared" si="9"/>
        <v/>
      </c>
      <c r="H66" s="8"/>
      <c r="I66" s="8"/>
    </row>
    <row r="67" spans="1:9" ht="19.5" customHeight="1" x14ac:dyDescent="0.25">
      <c r="A67" s="11"/>
      <c r="B67" s="11"/>
      <c r="C67" s="12" t="str">
        <f t="shared" si="5"/>
        <v/>
      </c>
      <c r="D67" s="12" t="str">
        <f t="shared" si="6"/>
        <v/>
      </c>
      <c r="E67" s="12" t="str">
        <f t="shared" si="7"/>
        <v/>
      </c>
      <c r="F67" s="12" t="str">
        <f t="shared" si="8"/>
        <v/>
      </c>
      <c r="G67" s="12" t="str">
        <f t="shared" si="9"/>
        <v/>
      </c>
      <c r="H67" s="8"/>
      <c r="I67" s="8"/>
    </row>
    <row r="68" spans="1:9" ht="19.5" customHeight="1" x14ac:dyDescent="0.25">
      <c r="A68" s="11"/>
      <c r="B68" s="11"/>
      <c r="C68" s="12" t="str">
        <f t="shared" si="5"/>
        <v/>
      </c>
      <c r="D68" s="12" t="str">
        <f t="shared" si="6"/>
        <v/>
      </c>
      <c r="E68" s="12" t="str">
        <f t="shared" si="7"/>
        <v/>
      </c>
      <c r="F68" s="12" t="str">
        <f t="shared" si="8"/>
        <v/>
      </c>
      <c r="G68" s="12" t="str">
        <f t="shared" si="9"/>
        <v/>
      </c>
      <c r="H68" s="8"/>
      <c r="I68" s="8"/>
    </row>
    <row r="69" spans="1:9" ht="19.5" customHeight="1" x14ac:dyDescent="0.25">
      <c r="A69" s="11"/>
      <c r="B69" s="11"/>
      <c r="C69" s="12" t="str">
        <f t="shared" ref="C69:C104" si="10">IF(A69&gt;0,LN(A69),"")</f>
        <v/>
      </c>
      <c r="D69" s="12" t="str">
        <f t="shared" ref="D69:D100" si="11">IF(OR(C69="",B69=""),"",C69*B69)</f>
        <v/>
      </c>
      <c r="E69" s="12" t="str">
        <f t="shared" ref="E69:E104" si="12">IF(C69="","",C69^2)</f>
        <v/>
      </c>
      <c r="F69" s="12" t="str">
        <f t="shared" ref="F69:F104" si="13">IF(A69&gt;0,$I$11+$I$10*LN(A69),"")</f>
        <v/>
      </c>
      <c r="G69" s="12" t="str">
        <f t="shared" ref="G69:G100" si="14">IF(OR(B69="",F69=""),"",B69-F69)</f>
        <v/>
      </c>
      <c r="H69" s="8"/>
      <c r="I69" s="8"/>
    </row>
    <row r="70" spans="1:9" ht="19.5" customHeight="1" x14ac:dyDescent="0.25">
      <c r="A70" s="11"/>
      <c r="B70" s="11"/>
      <c r="C70" s="12" t="str">
        <f t="shared" si="10"/>
        <v/>
      </c>
      <c r="D70" s="12" t="str">
        <f t="shared" si="11"/>
        <v/>
      </c>
      <c r="E70" s="12" t="str">
        <f t="shared" si="12"/>
        <v/>
      </c>
      <c r="F70" s="12" t="str">
        <f t="shared" si="13"/>
        <v/>
      </c>
      <c r="G70" s="12" t="str">
        <f t="shared" si="14"/>
        <v/>
      </c>
      <c r="H70" s="8"/>
      <c r="I70" s="8"/>
    </row>
    <row r="71" spans="1:9" ht="19.5" customHeight="1" x14ac:dyDescent="0.25">
      <c r="A71" s="11"/>
      <c r="B71" s="11"/>
      <c r="C71" s="12" t="str">
        <f t="shared" si="10"/>
        <v/>
      </c>
      <c r="D71" s="12" t="str">
        <f t="shared" si="11"/>
        <v/>
      </c>
      <c r="E71" s="12" t="str">
        <f t="shared" si="12"/>
        <v/>
      </c>
      <c r="F71" s="12" t="str">
        <f t="shared" si="13"/>
        <v/>
      </c>
      <c r="G71" s="12" t="str">
        <f t="shared" si="14"/>
        <v/>
      </c>
      <c r="H71" s="8"/>
      <c r="I71" s="8"/>
    </row>
    <row r="72" spans="1:9" ht="19.5" customHeight="1" x14ac:dyDescent="0.25">
      <c r="A72" s="11"/>
      <c r="B72" s="11"/>
      <c r="C72" s="12" t="str">
        <f t="shared" si="10"/>
        <v/>
      </c>
      <c r="D72" s="12" t="str">
        <f t="shared" si="11"/>
        <v/>
      </c>
      <c r="E72" s="12" t="str">
        <f t="shared" si="12"/>
        <v/>
      </c>
      <c r="F72" s="12" t="str">
        <f t="shared" si="13"/>
        <v/>
      </c>
      <c r="G72" s="12" t="str">
        <f t="shared" si="14"/>
        <v/>
      </c>
      <c r="H72" s="8"/>
      <c r="I72" s="8"/>
    </row>
    <row r="73" spans="1:9" ht="19.5" customHeight="1" x14ac:dyDescent="0.25">
      <c r="A73" s="11"/>
      <c r="B73" s="11"/>
      <c r="C73" s="12" t="str">
        <f t="shared" si="10"/>
        <v/>
      </c>
      <c r="D73" s="12" t="str">
        <f t="shared" si="11"/>
        <v/>
      </c>
      <c r="E73" s="12" t="str">
        <f t="shared" si="12"/>
        <v/>
      </c>
      <c r="F73" s="12" t="str">
        <f t="shared" si="13"/>
        <v/>
      </c>
      <c r="G73" s="12" t="str">
        <f t="shared" si="14"/>
        <v/>
      </c>
      <c r="H73" s="8"/>
      <c r="I73" s="8"/>
    </row>
    <row r="74" spans="1:9" ht="19.5" customHeight="1" x14ac:dyDescent="0.25">
      <c r="A74" s="11"/>
      <c r="B74" s="11"/>
      <c r="C74" s="12" t="str">
        <f t="shared" si="10"/>
        <v/>
      </c>
      <c r="D74" s="12" t="str">
        <f t="shared" si="11"/>
        <v/>
      </c>
      <c r="E74" s="12" t="str">
        <f t="shared" si="12"/>
        <v/>
      </c>
      <c r="F74" s="12" t="str">
        <f t="shared" si="13"/>
        <v/>
      </c>
      <c r="G74" s="12" t="str">
        <f t="shared" si="14"/>
        <v/>
      </c>
      <c r="H74" s="8"/>
      <c r="I74" s="8"/>
    </row>
    <row r="75" spans="1:9" ht="19.5" customHeight="1" x14ac:dyDescent="0.25">
      <c r="A75" s="11"/>
      <c r="B75" s="11"/>
      <c r="C75" s="12" t="str">
        <f t="shared" si="10"/>
        <v/>
      </c>
      <c r="D75" s="12" t="str">
        <f t="shared" si="11"/>
        <v/>
      </c>
      <c r="E75" s="12" t="str">
        <f t="shared" si="12"/>
        <v/>
      </c>
      <c r="F75" s="12" t="str">
        <f t="shared" si="13"/>
        <v/>
      </c>
      <c r="G75" s="12" t="str">
        <f t="shared" si="14"/>
        <v/>
      </c>
      <c r="H75" s="8"/>
      <c r="I75" s="8"/>
    </row>
    <row r="76" spans="1:9" ht="19.5" customHeight="1" x14ac:dyDescent="0.25">
      <c r="A76" s="11"/>
      <c r="B76" s="11"/>
      <c r="C76" s="12" t="str">
        <f t="shared" si="10"/>
        <v/>
      </c>
      <c r="D76" s="12" t="str">
        <f t="shared" si="11"/>
        <v/>
      </c>
      <c r="E76" s="12" t="str">
        <f t="shared" si="12"/>
        <v/>
      </c>
      <c r="F76" s="12" t="str">
        <f t="shared" si="13"/>
        <v/>
      </c>
      <c r="G76" s="12" t="str">
        <f t="shared" si="14"/>
        <v/>
      </c>
      <c r="H76" s="8"/>
      <c r="I76" s="8"/>
    </row>
    <row r="77" spans="1:9" ht="19.5" customHeight="1" x14ac:dyDescent="0.25">
      <c r="A77" s="11"/>
      <c r="B77" s="11"/>
      <c r="C77" s="12" t="str">
        <f t="shared" si="10"/>
        <v/>
      </c>
      <c r="D77" s="12" t="str">
        <f t="shared" si="11"/>
        <v/>
      </c>
      <c r="E77" s="12" t="str">
        <f t="shared" si="12"/>
        <v/>
      </c>
      <c r="F77" s="12" t="str">
        <f t="shared" si="13"/>
        <v/>
      </c>
      <c r="G77" s="12" t="str">
        <f t="shared" si="14"/>
        <v/>
      </c>
      <c r="H77" s="8"/>
      <c r="I77" s="8"/>
    </row>
    <row r="78" spans="1:9" ht="19.5" customHeight="1" x14ac:dyDescent="0.25">
      <c r="A78" s="11"/>
      <c r="B78" s="11"/>
      <c r="C78" s="12" t="str">
        <f t="shared" si="10"/>
        <v/>
      </c>
      <c r="D78" s="12" t="str">
        <f t="shared" si="11"/>
        <v/>
      </c>
      <c r="E78" s="12" t="str">
        <f t="shared" si="12"/>
        <v/>
      </c>
      <c r="F78" s="12" t="str">
        <f t="shared" si="13"/>
        <v/>
      </c>
      <c r="G78" s="12" t="str">
        <f t="shared" si="14"/>
        <v/>
      </c>
      <c r="H78" s="8"/>
      <c r="I78" s="8"/>
    </row>
    <row r="79" spans="1:9" ht="19.5" customHeight="1" x14ac:dyDescent="0.25">
      <c r="A79" s="11"/>
      <c r="B79" s="11"/>
      <c r="C79" s="12" t="str">
        <f t="shared" si="10"/>
        <v/>
      </c>
      <c r="D79" s="12" t="str">
        <f t="shared" si="11"/>
        <v/>
      </c>
      <c r="E79" s="12" t="str">
        <f t="shared" si="12"/>
        <v/>
      </c>
      <c r="F79" s="12" t="str">
        <f t="shared" si="13"/>
        <v/>
      </c>
      <c r="G79" s="12" t="str">
        <f t="shared" si="14"/>
        <v/>
      </c>
      <c r="H79" s="8"/>
      <c r="I79" s="8"/>
    </row>
    <row r="80" spans="1:9" ht="19.5" customHeight="1" x14ac:dyDescent="0.25">
      <c r="A80" s="11"/>
      <c r="B80" s="11"/>
      <c r="C80" s="12" t="str">
        <f t="shared" si="10"/>
        <v/>
      </c>
      <c r="D80" s="12" t="str">
        <f t="shared" si="11"/>
        <v/>
      </c>
      <c r="E80" s="12" t="str">
        <f t="shared" si="12"/>
        <v/>
      </c>
      <c r="F80" s="12" t="str">
        <f t="shared" si="13"/>
        <v/>
      </c>
      <c r="G80" s="12" t="str">
        <f t="shared" si="14"/>
        <v/>
      </c>
      <c r="H80" s="8"/>
      <c r="I80" s="8"/>
    </row>
    <row r="81" spans="1:9" ht="19.5" customHeight="1" x14ac:dyDescent="0.25">
      <c r="A81" s="11"/>
      <c r="B81" s="11"/>
      <c r="C81" s="12" t="str">
        <f t="shared" si="10"/>
        <v/>
      </c>
      <c r="D81" s="12" t="str">
        <f t="shared" si="11"/>
        <v/>
      </c>
      <c r="E81" s="12" t="str">
        <f t="shared" si="12"/>
        <v/>
      </c>
      <c r="F81" s="12" t="str">
        <f t="shared" si="13"/>
        <v/>
      </c>
      <c r="G81" s="12" t="str">
        <f t="shared" si="14"/>
        <v/>
      </c>
      <c r="H81" s="8"/>
      <c r="I81" s="8"/>
    </row>
    <row r="82" spans="1:9" ht="19.5" customHeight="1" x14ac:dyDescent="0.25">
      <c r="A82" s="11"/>
      <c r="B82" s="11"/>
      <c r="C82" s="12" t="str">
        <f t="shared" si="10"/>
        <v/>
      </c>
      <c r="D82" s="12" t="str">
        <f t="shared" si="11"/>
        <v/>
      </c>
      <c r="E82" s="12" t="str">
        <f t="shared" si="12"/>
        <v/>
      </c>
      <c r="F82" s="12" t="str">
        <f t="shared" si="13"/>
        <v/>
      </c>
      <c r="G82" s="12" t="str">
        <f t="shared" si="14"/>
        <v/>
      </c>
      <c r="H82" s="8"/>
      <c r="I82" s="8"/>
    </row>
    <row r="83" spans="1:9" ht="19.5" customHeight="1" x14ac:dyDescent="0.25">
      <c r="A83" s="11"/>
      <c r="B83" s="11"/>
      <c r="C83" s="12" t="str">
        <f t="shared" si="10"/>
        <v/>
      </c>
      <c r="D83" s="12" t="str">
        <f t="shared" si="11"/>
        <v/>
      </c>
      <c r="E83" s="12" t="str">
        <f t="shared" si="12"/>
        <v/>
      </c>
      <c r="F83" s="12" t="str">
        <f t="shared" si="13"/>
        <v/>
      </c>
      <c r="G83" s="12" t="str">
        <f t="shared" si="14"/>
        <v/>
      </c>
      <c r="H83" s="8"/>
      <c r="I83" s="8"/>
    </row>
    <row r="84" spans="1:9" ht="19.5" customHeight="1" x14ac:dyDescent="0.25">
      <c r="A84" s="11"/>
      <c r="B84" s="11"/>
      <c r="C84" s="12" t="str">
        <f t="shared" si="10"/>
        <v/>
      </c>
      <c r="D84" s="12" t="str">
        <f t="shared" si="11"/>
        <v/>
      </c>
      <c r="E84" s="12" t="str">
        <f t="shared" si="12"/>
        <v/>
      </c>
      <c r="F84" s="12" t="str">
        <f t="shared" si="13"/>
        <v/>
      </c>
      <c r="G84" s="12" t="str">
        <f t="shared" si="14"/>
        <v/>
      </c>
      <c r="H84" s="8"/>
      <c r="I84" s="8"/>
    </row>
    <row r="85" spans="1:9" ht="19.5" customHeight="1" x14ac:dyDescent="0.25">
      <c r="A85" s="11"/>
      <c r="B85" s="11"/>
      <c r="C85" s="12" t="str">
        <f t="shared" si="10"/>
        <v/>
      </c>
      <c r="D85" s="12" t="str">
        <f t="shared" si="11"/>
        <v/>
      </c>
      <c r="E85" s="12" t="str">
        <f t="shared" si="12"/>
        <v/>
      </c>
      <c r="F85" s="12" t="str">
        <f t="shared" si="13"/>
        <v/>
      </c>
      <c r="G85" s="12" t="str">
        <f t="shared" si="14"/>
        <v/>
      </c>
      <c r="H85" s="8"/>
      <c r="I85" s="8"/>
    </row>
    <row r="86" spans="1:9" ht="19.5" customHeight="1" x14ac:dyDescent="0.25">
      <c r="A86" s="11"/>
      <c r="B86" s="11"/>
      <c r="C86" s="12" t="str">
        <f t="shared" si="10"/>
        <v/>
      </c>
      <c r="D86" s="12" t="str">
        <f t="shared" si="11"/>
        <v/>
      </c>
      <c r="E86" s="12" t="str">
        <f t="shared" si="12"/>
        <v/>
      </c>
      <c r="F86" s="12" t="str">
        <f t="shared" si="13"/>
        <v/>
      </c>
      <c r="G86" s="12" t="str">
        <f t="shared" si="14"/>
        <v/>
      </c>
      <c r="H86" s="8"/>
      <c r="I86" s="8"/>
    </row>
    <row r="87" spans="1:9" ht="19.5" customHeight="1" x14ac:dyDescent="0.25">
      <c r="A87" s="11"/>
      <c r="B87" s="11"/>
      <c r="C87" s="12" t="str">
        <f t="shared" si="10"/>
        <v/>
      </c>
      <c r="D87" s="12" t="str">
        <f t="shared" si="11"/>
        <v/>
      </c>
      <c r="E87" s="12" t="str">
        <f t="shared" si="12"/>
        <v/>
      </c>
      <c r="F87" s="12" t="str">
        <f t="shared" si="13"/>
        <v/>
      </c>
      <c r="G87" s="12" t="str">
        <f t="shared" si="14"/>
        <v/>
      </c>
      <c r="H87" s="8"/>
      <c r="I87" s="8"/>
    </row>
    <row r="88" spans="1:9" ht="19.5" customHeight="1" x14ac:dyDescent="0.25">
      <c r="A88" s="11"/>
      <c r="B88" s="11"/>
      <c r="C88" s="12" t="str">
        <f t="shared" si="10"/>
        <v/>
      </c>
      <c r="D88" s="12" t="str">
        <f t="shared" si="11"/>
        <v/>
      </c>
      <c r="E88" s="12" t="str">
        <f t="shared" si="12"/>
        <v/>
      </c>
      <c r="F88" s="12" t="str">
        <f t="shared" si="13"/>
        <v/>
      </c>
      <c r="G88" s="12" t="str">
        <f t="shared" si="14"/>
        <v/>
      </c>
      <c r="H88" s="8"/>
      <c r="I88" s="8"/>
    </row>
    <row r="89" spans="1:9" ht="19.5" customHeight="1" x14ac:dyDescent="0.25">
      <c r="A89" s="11"/>
      <c r="B89" s="11"/>
      <c r="C89" s="12" t="str">
        <f t="shared" si="10"/>
        <v/>
      </c>
      <c r="D89" s="12" t="str">
        <f t="shared" si="11"/>
        <v/>
      </c>
      <c r="E89" s="12" t="str">
        <f t="shared" si="12"/>
        <v/>
      </c>
      <c r="F89" s="12" t="str">
        <f t="shared" si="13"/>
        <v/>
      </c>
      <c r="G89" s="12" t="str">
        <f t="shared" si="14"/>
        <v/>
      </c>
      <c r="H89" s="8"/>
      <c r="I89" s="8"/>
    </row>
    <row r="90" spans="1:9" ht="19.5" customHeight="1" x14ac:dyDescent="0.25">
      <c r="A90" s="11"/>
      <c r="B90" s="11"/>
      <c r="C90" s="12" t="str">
        <f t="shared" si="10"/>
        <v/>
      </c>
      <c r="D90" s="12" t="str">
        <f t="shared" si="11"/>
        <v/>
      </c>
      <c r="E90" s="12" t="str">
        <f t="shared" si="12"/>
        <v/>
      </c>
      <c r="F90" s="12" t="str">
        <f t="shared" si="13"/>
        <v/>
      </c>
      <c r="G90" s="12" t="str">
        <f t="shared" si="14"/>
        <v/>
      </c>
      <c r="H90" s="8"/>
      <c r="I90" s="8"/>
    </row>
    <row r="91" spans="1:9" ht="19.5" customHeight="1" x14ac:dyDescent="0.25">
      <c r="A91" s="11"/>
      <c r="B91" s="11"/>
      <c r="C91" s="12" t="str">
        <f t="shared" si="10"/>
        <v/>
      </c>
      <c r="D91" s="12" t="str">
        <f t="shared" si="11"/>
        <v/>
      </c>
      <c r="E91" s="12" t="str">
        <f t="shared" si="12"/>
        <v/>
      </c>
      <c r="F91" s="12" t="str">
        <f t="shared" si="13"/>
        <v/>
      </c>
      <c r="G91" s="12" t="str">
        <f t="shared" si="14"/>
        <v/>
      </c>
      <c r="H91" s="8"/>
      <c r="I91" s="8"/>
    </row>
    <row r="92" spans="1:9" ht="19.5" customHeight="1" x14ac:dyDescent="0.25">
      <c r="A92" s="11"/>
      <c r="B92" s="11"/>
      <c r="C92" s="12" t="str">
        <f t="shared" si="10"/>
        <v/>
      </c>
      <c r="D92" s="12" t="str">
        <f t="shared" si="11"/>
        <v/>
      </c>
      <c r="E92" s="12" t="str">
        <f t="shared" si="12"/>
        <v/>
      </c>
      <c r="F92" s="12" t="str">
        <f t="shared" si="13"/>
        <v/>
      </c>
      <c r="G92" s="12" t="str">
        <f t="shared" si="14"/>
        <v/>
      </c>
      <c r="H92" s="8"/>
      <c r="I92" s="8"/>
    </row>
    <row r="93" spans="1:9" ht="19.5" customHeight="1" x14ac:dyDescent="0.25">
      <c r="A93" s="11"/>
      <c r="B93" s="11"/>
      <c r="C93" s="12" t="str">
        <f t="shared" si="10"/>
        <v/>
      </c>
      <c r="D93" s="12" t="str">
        <f t="shared" si="11"/>
        <v/>
      </c>
      <c r="E93" s="12" t="str">
        <f t="shared" si="12"/>
        <v/>
      </c>
      <c r="F93" s="12" t="str">
        <f t="shared" si="13"/>
        <v/>
      </c>
      <c r="G93" s="12" t="str">
        <f t="shared" si="14"/>
        <v/>
      </c>
      <c r="H93" s="8"/>
      <c r="I93" s="8"/>
    </row>
    <row r="94" spans="1:9" ht="19.5" customHeight="1" x14ac:dyDescent="0.25">
      <c r="A94" s="11"/>
      <c r="B94" s="11"/>
      <c r="C94" s="12" t="str">
        <f t="shared" si="10"/>
        <v/>
      </c>
      <c r="D94" s="12" t="str">
        <f t="shared" si="11"/>
        <v/>
      </c>
      <c r="E94" s="12" t="str">
        <f t="shared" si="12"/>
        <v/>
      </c>
      <c r="F94" s="12" t="str">
        <f t="shared" si="13"/>
        <v/>
      </c>
      <c r="G94" s="12" t="str">
        <f t="shared" si="14"/>
        <v/>
      </c>
      <c r="H94" s="8"/>
      <c r="I94" s="8"/>
    </row>
    <row r="95" spans="1:9" ht="19.5" customHeight="1" x14ac:dyDescent="0.25">
      <c r="A95" s="11"/>
      <c r="B95" s="11"/>
      <c r="C95" s="12" t="str">
        <f t="shared" si="10"/>
        <v/>
      </c>
      <c r="D95" s="12" t="str">
        <f t="shared" si="11"/>
        <v/>
      </c>
      <c r="E95" s="12" t="str">
        <f t="shared" si="12"/>
        <v/>
      </c>
      <c r="F95" s="12" t="str">
        <f t="shared" si="13"/>
        <v/>
      </c>
      <c r="G95" s="12" t="str">
        <f t="shared" si="14"/>
        <v/>
      </c>
      <c r="H95" s="8"/>
      <c r="I95" s="8"/>
    </row>
    <row r="96" spans="1:9" ht="19.5" customHeight="1" x14ac:dyDescent="0.25">
      <c r="A96" s="11"/>
      <c r="B96" s="11"/>
      <c r="C96" s="12" t="str">
        <f t="shared" si="10"/>
        <v/>
      </c>
      <c r="D96" s="12" t="str">
        <f t="shared" si="11"/>
        <v/>
      </c>
      <c r="E96" s="12" t="str">
        <f t="shared" si="12"/>
        <v/>
      </c>
      <c r="F96" s="12" t="str">
        <f t="shared" si="13"/>
        <v/>
      </c>
      <c r="G96" s="12" t="str">
        <f t="shared" si="14"/>
        <v/>
      </c>
      <c r="H96" s="8"/>
      <c r="I96" s="8"/>
    </row>
    <row r="97" spans="1:9" ht="19.5" customHeight="1" x14ac:dyDescent="0.25">
      <c r="A97" s="11"/>
      <c r="B97" s="11"/>
      <c r="C97" s="12" t="str">
        <f t="shared" si="10"/>
        <v/>
      </c>
      <c r="D97" s="12" t="str">
        <f t="shared" si="11"/>
        <v/>
      </c>
      <c r="E97" s="12" t="str">
        <f t="shared" si="12"/>
        <v/>
      </c>
      <c r="F97" s="12" t="str">
        <f t="shared" si="13"/>
        <v/>
      </c>
      <c r="G97" s="12" t="str">
        <f t="shared" si="14"/>
        <v/>
      </c>
      <c r="H97" s="8"/>
      <c r="I97" s="8"/>
    </row>
    <row r="98" spans="1:9" ht="19.5" customHeight="1" x14ac:dyDescent="0.25">
      <c r="A98" s="11"/>
      <c r="B98" s="11"/>
      <c r="C98" s="12" t="str">
        <f t="shared" si="10"/>
        <v/>
      </c>
      <c r="D98" s="12" t="str">
        <f t="shared" si="11"/>
        <v/>
      </c>
      <c r="E98" s="12" t="str">
        <f t="shared" si="12"/>
        <v/>
      </c>
      <c r="F98" s="12" t="str">
        <f t="shared" si="13"/>
        <v/>
      </c>
      <c r="G98" s="12" t="str">
        <f t="shared" si="14"/>
        <v/>
      </c>
      <c r="H98" s="8"/>
      <c r="I98" s="8"/>
    </row>
    <row r="99" spans="1:9" ht="19.5" customHeight="1" x14ac:dyDescent="0.25">
      <c r="A99" s="11"/>
      <c r="B99" s="11"/>
      <c r="C99" s="12" t="str">
        <f t="shared" si="10"/>
        <v/>
      </c>
      <c r="D99" s="12" t="str">
        <f t="shared" si="11"/>
        <v/>
      </c>
      <c r="E99" s="12" t="str">
        <f t="shared" si="12"/>
        <v/>
      </c>
      <c r="F99" s="12" t="str">
        <f t="shared" si="13"/>
        <v/>
      </c>
      <c r="G99" s="12" t="str">
        <f t="shared" si="14"/>
        <v/>
      </c>
      <c r="H99" s="8"/>
      <c r="I99" s="8"/>
    </row>
    <row r="100" spans="1:9" ht="19.5" customHeight="1" x14ac:dyDescent="0.25">
      <c r="A100" s="11"/>
      <c r="B100" s="11"/>
      <c r="C100" s="12" t="str">
        <f t="shared" si="10"/>
        <v/>
      </c>
      <c r="D100" s="12" t="str">
        <f t="shared" si="11"/>
        <v/>
      </c>
      <c r="E100" s="12" t="str">
        <f t="shared" si="12"/>
        <v/>
      </c>
      <c r="F100" s="12" t="str">
        <f t="shared" si="13"/>
        <v/>
      </c>
      <c r="G100" s="12" t="str">
        <f t="shared" si="14"/>
        <v/>
      </c>
      <c r="H100" s="8"/>
      <c r="I100" s="8"/>
    </row>
    <row r="101" spans="1:9" ht="19.5" customHeight="1" x14ac:dyDescent="0.25">
      <c r="A101" s="11"/>
      <c r="B101" s="11"/>
      <c r="C101" s="12" t="str">
        <f t="shared" si="10"/>
        <v/>
      </c>
      <c r="D101" s="12" t="str">
        <f t="shared" ref="D101:D132" si="15">IF(OR(C101="",B101=""),"",C101*B101)</f>
        <v/>
      </c>
      <c r="E101" s="12" t="str">
        <f t="shared" si="12"/>
        <v/>
      </c>
      <c r="F101" s="12" t="str">
        <f t="shared" si="13"/>
        <v/>
      </c>
      <c r="G101" s="12" t="str">
        <f t="shared" ref="G101:G132" si="16">IF(OR(B101="",F101=""),"",B101-F101)</f>
        <v/>
      </c>
      <c r="H101" s="8"/>
      <c r="I101" s="8"/>
    </row>
    <row r="102" spans="1:9" ht="19.5" customHeight="1" x14ac:dyDescent="0.25">
      <c r="A102" s="11"/>
      <c r="B102" s="11"/>
      <c r="C102" s="12" t="str">
        <f t="shared" si="10"/>
        <v/>
      </c>
      <c r="D102" s="12" t="str">
        <f t="shared" si="15"/>
        <v/>
      </c>
      <c r="E102" s="12" t="str">
        <f t="shared" si="12"/>
        <v/>
      </c>
      <c r="F102" s="12" t="str">
        <f t="shared" si="13"/>
        <v/>
      </c>
      <c r="G102" s="12" t="str">
        <f t="shared" si="16"/>
        <v/>
      </c>
      <c r="H102" s="8"/>
      <c r="I102" s="8"/>
    </row>
    <row r="103" spans="1:9" ht="19.5" customHeight="1" x14ac:dyDescent="0.25">
      <c r="A103" s="11"/>
      <c r="B103" s="11"/>
      <c r="C103" s="12" t="str">
        <f t="shared" si="10"/>
        <v/>
      </c>
      <c r="D103" s="12" t="str">
        <f t="shared" si="15"/>
        <v/>
      </c>
      <c r="E103" s="12" t="str">
        <f t="shared" si="12"/>
        <v/>
      </c>
      <c r="F103" s="12" t="str">
        <f t="shared" si="13"/>
        <v/>
      </c>
      <c r="G103" s="12" t="str">
        <f t="shared" si="16"/>
        <v/>
      </c>
      <c r="H103" s="8"/>
      <c r="I103" s="8"/>
    </row>
    <row r="104" spans="1:9" ht="19.5" customHeight="1" x14ac:dyDescent="0.25">
      <c r="A104" s="11"/>
      <c r="B104" s="11"/>
      <c r="C104" s="12" t="str">
        <f t="shared" si="10"/>
        <v/>
      </c>
      <c r="D104" s="12" t="str">
        <f t="shared" si="15"/>
        <v/>
      </c>
      <c r="E104" s="12" t="str">
        <f t="shared" si="12"/>
        <v/>
      </c>
      <c r="F104" s="12" t="str">
        <f t="shared" si="13"/>
        <v/>
      </c>
      <c r="G104" s="12" t="str">
        <f t="shared" si="16"/>
        <v/>
      </c>
      <c r="H104" s="8"/>
      <c r="I104" s="8"/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N1"/>
    <mergeCell ref="A2:N2"/>
    <mergeCell ref="H18:I21"/>
  </mergeCells>
  <dataValidations count="1">
    <dataValidation type="decimal" allowBlank="1" error="Solo se permiten valores numéricos." prompt="Ingresa un número." sqref="A5:B104" xr:uid="{00000000-0002-0000-03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9"/>
  <sheetViews>
    <sheetView showGridLines="0" zoomScaleNormal="100" workbookViewId="0">
      <pane ySplit="4" topLeftCell="A5" activePane="bottomLeft" state="frozen"/>
      <selection pane="bottomLeft" activeCell="H6" sqref="H6"/>
    </sheetView>
  </sheetViews>
  <sheetFormatPr defaultColWidth="8.7109375" defaultRowHeight="15" customHeight="1" x14ac:dyDescent="0.25"/>
  <cols>
    <col min="1" max="2" width="12" customWidth="1"/>
    <col min="3" max="5" width="14" customWidth="1"/>
    <col min="6" max="6" width="16" customWidth="1"/>
    <col min="7" max="7" width="14" customWidth="1"/>
    <col min="8" max="17" width="13" customWidth="1"/>
  </cols>
  <sheetData>
    <row r="1" spans="1:15" ht="25.5" customHeight="1" x14ac:dyDescent="0.25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30" customHeight="1" x14ac:dyDescent="0.25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9.5" customHeight="1" x14ac:dyDescent="0.25"/>
    <row r="4" spans="1:15" ht="19.5" customHeight="1" x14ac:dyDescent="0.25">
      <c r="A4" s="9" t="s">
        <v>17</v>
      </c>
      <c r="B4" s="9" t="s">
        <v>18</v>
      </c>
      <c r="C4" s="9" t="s">
        <v>60</v>
      </c>
      <c r="D4" s="9" t="s">
        <v>61</v>
      </c>
      <c r="E4" s="9" t="s">
        <v>20</v>
      </c>
      <c r="F4" s="9" t="s">
        <v>21</v>
      </c>
      <c r="G4" s="9" t="s">
        <v>22</v>
      </c>
      <c r="H4" s="5" t="s">
        <v>53</v>
      </c>
      <c r="I4" s="10">
        <f>COUNT(C5:C104)</f>
        <v>3</v>
      </c>
    </row>
    <row r="5" spans="1:15" ht="19.5" customHeight="1" x14ac:dyDescent="0.25">
      <c r="A5" s="11">
        <v>3</v>
      </c>
      <c r="B5" s="11">
        <v>4</v>
      </c>
      <c r="C5" s="12">
        <f>IF(B5&gt;0,LN(B5),"")</f>
        <v>1.3862943611198906</v>
      </c>
      <c r="D5" s="12">
        <f>IF(OR(A5="",C5=""),"",A5*C5)</f>
        <v>4.1588830833596715</v>
      </c>
      <c r="E5" s="12">
        <f t="shared" ref="E5:E36" si="0">IF(A5="","",A5^2)</f>
        <v>9</v>
      </c>
      <c r="F5" s="12">
        <f t="shared" ref="F5:F36" si="1">IF(A5="","",$I$12*EXP($I$10*A5))</f>
        <v>0.44199162013986798</v>
      </c>
      <c r="G5" s="12">
        <f t="shared" ref="G5:G36" si="2">IF(OR(B5="",F5=""),"",B5-F5)</f>
        <v>3.5580083798601319</v>
      </c>
      <c r="H5" s="7" t="s">
        <v>24</v>
      </c>
      <c r="I5" s="13">
        <f>SUM(A5:A104)</f>
        <v>24</v>
      </c>
    </row>
    <row r="6" spans="1:15" ht="19.5" customHeight="1" x14ac:dyDescent="0.25">
      <c r="A6" s="11">
        <v>5</v>
      </c>
      <c r="B6" s="11">
        <v>6</v>
      </c>
      <c r="C6" s="12">
        <f t="shared" ref="C5:C36" si="3">IF(B6&gt;0,LN(B6),"")</f>
        <v>1.791759469228055</v>
      </c>
      <c r="D6" s="12">
        <f t="shared" ref="D5:D36" si="4">IF(OR(A6="",C6=""),"",A6*C6)</f>
        <v>8.9587973461402743</v>
      </c>
      <c r="E6" s="12">
        <f t="shared" si="0"/>
        <v>25</v>
      </c>
      <c r="F6" s="12">
        <f t="shared" si="1"/>
        <v>1.2350615035815085</v>
      </c>
      <c r="G6" s="12">
        <f t="shared" si="2"/>
        <v>4.7649384964184911</v>
      </c>
      <c r="H6" s="7" t="s">
        <v>62</v>
      </c>
      <c r="I6" s="13">
        <f>SUM(C5:C104)</f>
        <v>5.2574953720277815</v>
      </c>
    </row>
    <row r="7" spans="1:15" ht="19.5" customHeight="1" x14ac:dyDescent="0.25">
      <c r="A7" s="11">
        <v>7</v>
      </c>
      <c r="B7" s="11">
        <v>8</v>
      </c>
      <c r="C7" s="12">
        <f t="shared" si="3"/>
        <v>2.0794415416798357</v>
      </c>
      <c r="D7" s="12">
        <f t="shared" si="4"/>
        <v>14.55609079175885</v>
      </c>
      <c r="E7" s="12">
        <f t="shared" si="0"/>
        <v>49</v>
      </c>
      <c r="F7" s="12">
        <f t="shared" si="1"/>
        <v>3.4511444292683917</v>
      </c>
      <c r="G7" s="12">
        <f t="shared" si="2"/>
        <v>4.5488555707316083</v>
      </c>
      <c r="H7" s="7" t="s">
        <v>63</v>
      </c>
      <c r="I7" s="13">
        <f>SUM(D5:D104)</f>
        <v>27.673771221258797</v>
      </c>
    </row>
    <row r="8" spans="1:15" ht="19.5" customHeight="1" x14ac:dyDescent="0.25">
      <c r="A8" s="11">
        <v>9</v>
      </c>
      <c r="B8" s="11">
        <v>0</v>
      </c>
      <c r="C8" s="12" t="str">
        <f t="shared" si="3"/>
        <v/>
      </c>
      <c r="D8" s="12" t="str">
        <f t="shared" si="4"/>
        <v/>
      </c>
      <c r="E8" s="12">
        <f t="shared" si="0"/>
        <v>81</v>
      </c>
      <c r="F8" s="12">
        <f t="shared" si="1"/>
        <v>9.6435666054943319</v>
      </c>
      <c r="G8" s="12">
        <f t="shared" si="2"/>
        <v>-9.6435666054943319</v>
      </c>
      <c r="H8" s="7" t="s">
        <v>27</v>
      </c>
      <c r="I8" s="13">
        <f>SUM(E5:E104)</f>
        <v>164</v>
      </c>
    </row>
    <row r="9" spans="1:15" ht="19.5" customHeight="1" x14ac:dyDescent="0.25">
      <c r="A9" s="11"/>
      <c r="B9" s="11"/>
      <c r="C9" s="12" t="str">
        <f t="shared" si="3"/>
        <v/>
      </c>
      <c r="D9" s="12" t="str">
        <f t="shared" si="4"/>
        <v/>
      </c>
      <c r="E9" s="12" t="str">
        <f t="shared" si="0"/>
        <v/>
      </c>
      <c r="F9" s="12" t="str">
        <f t="shared" si="1"/>
        <v/>
      </c>
      <c r="G9" s="12" t="str">
        <f t="shared" si="2"/>
        <v/>
      </c>
      <c r="H9" s="8"/>
      <c r="I9" s="8"/>
    </row>
    <row r="10" spans="1:15" ht="19.5" customHeight="1" x14ac:dyDescent="0.25">
      <c r="A10" s="11"/>
      <c r="B10" s="11"/>
      <c r="C10" s="12" t="str">
        <f t="shared" si="3"/>
        <v/>
      </c>
      <c r="D10" s="12" t="str">
        <f t="shared" si="4"/>
        <v/>
      </c>
      <c r="E10" s="12" t="str">
        <f t="shared" si="0"/>
        <v/>
      </c>
      <c r="F10" s="12" t="str">
        <f t="shared" si="1"/>
        <v/>
      </c>
      <c r="G10" s="12" t="str">
        <f t="shared" si="2"/>
        <v/>
      </c>
      <c r="H10" s="7" t="s">
        <v>29</v>
      </c>
      <c r="I10" s="14">
        <f>IFERROR((I4*I7-I5*I6)/(I4*I8-I5^2),"")</f>
        <v>0.51379256267726614</v>
      </c>
    </row>
    <row r="11" spans="1:15" ht="19.5" customHeight="1" x14ac:dyDescent="0.25">
      <c r="A11" s="11"/>
      <c r="B11" s="11"/>
      <c r="C11" s="12" t="str">
        <f t="shared" si="3"/>
        <v/>
      </c>
      <c r="D11" s="12" t="str">
        <f t="shared" si="4"/>
        <v/>
      </c>
      <c r="E11" s="12" t="str">
        <f t="shared" si="0"/>
        <v/>
      </c>
      <c r="F11" s="12" t="str">
        <f t="shared" si="1"/>
        <v/>
      </c>
      <c r="G11" s="12" t="str">
        <f t="shared" si="2"/>
        <v/>
      </c>
      <c r="H11" s="7" t="s">
        <v>64</v>
      </c>
      <c r="I11" s="14">
        <f>IF(I4&gt;0,IFERROR((I6-I10*I5)/I4,""),"")</f>
        <v>-2.3578420440755354</v>
      </c>
    </row>
    <row r="12" spans="1:15" ht="19.5" customHeight="1" x14ac:dyDescent="0.25">
      <c r="A12" s="11"/>
      <c r="B12" s="11"/>
      <c r="C12" s="12" t="str">
        <f t="shared" si="3"/>
        <v/>
      </c>
      <c r="D12" s="12" t="str">
        <f t="shared" si="4"/>
        <v/>
      </c>
      <c r="E12" s="12" t="str">
        <f t="shared" si="0"/>
        <v/>
      </c>
      <c r="F12" s="12" t="str">
        <f t="shared" si="1"/>
        <v/>
      </c>
      <c r="G12" s="12" t="str">
        <f t="shared" si="2"/>
        <v/>
      </c>
      <c r="H12" s="7" t="s">
        <v>45</v>
      </c>
      <c r="I12" s="14">
        <f>IF(I11="","",EXP(I11))</f>
        <v>9.4624197881372787E-2</v>
      </c>
    </row>
    <row r="13" spans="1:15" ht="19.5" customHeight="1" x14ac:dyDescent="0.25">
      <c r="A13" s="11"/>
      <c r="B13" s="11"/>
      <c r="C13" s="12" t="str">
        <f t="shared" si="3"/>
        <v/>
      </c>
      <c r="D13" s="12" t="str">
        <f t="shared" si="4"/>
        <v/>
      </c>
      <c r="E13" s="12" t="str">
        <f t="shared" si="0"/>
        <v/>
      </c>
      <c r="F13" s="12" t="str">
        <f t="shared" si="1"/>
        <v/>
      </c>
      <c r="G13" s="12" t="str">
        <f t="shared" si="2"/>
        <v/>
      </c>
      <c r="H13" s="8"/>
      <c r="I13" s="8"/>
    </row>
    <row r="14" spans="1:15" ht="19.5" customHeight="1" x14ac:dyDescent="0.25">
      <c r="A14" s="11"/>
      <c r="B14" s="11"/>
      <c r="C14" s="12" t="str">
        <f t="shared" si="3"/>
        <v/>
      </c>
      <c r="D14" s="12" t="str">
        <f t="shared" si="4"/>
        <v/>
      </c>
      <c r="E14" s="12" t="str">
        <f t="shared" si="0"/>
        <v/>
      </c>
      <c r="F14" s="12" t="str">
        <f t="shared" si="1"/>
        <v/>
      </c>
      <c r="G14" s="12" t="str">
        <f t="shared" si="2"/>
        <v/>
      </c>
      <c r="H14" s="7" t="s">
        <v>30</v>
      </c>
      <c r="I14" s="14">
        <f>SUMPRODUCT(G5:G104,G5:G104)</f>
        <v>149.05452638378728</v>
      </c>
    </row>
    <row r="15" spans="1:15" ht="19.5" customHeight="1" x14ac:dyDescent="0.25">
      <c r="A15" s="11"/>
      <c r="B15" s="11"/>
      <c r="C15" s="12" t="str">
        <f t="shared" si="3"/>
        <v/>
      </c>
      <c r="D15" s="12" t="str">
        <f t="shared" si="4"/>
        <v/>
      </c>
      <c r="E15" s="12" t="str">
        <f t="shared" si="0"/>
        <v/>
      </c>
      <c r="F15" s="12" t="str">
        <f t="shared" si="1"/>
        <v/>
      </c>
      <c r="G15" s="12" t="str">
        <f t="shared" si="2"/>
        <v/>
      </c>
      <c r="H15" s="7" t="s">
        <v>31</v>
      </c>
      <c r="I15" s="14">
        <f>IF(COUNT(B5:B104)&gt;1,IFERROR(1-I14/DEVSQ(B5:B104),""),"")</f>
        <v>-3.2587007538224935</v>
      </c>
    </row>
    <row r="16" spans="1:15" ht="19.5" customHeight="1" x14ac:dyDescent="0.25">
      <c r="A16" s="11"/>
      <c r="B16" s="11"/>
      <c r="C16" s="12" t="str">
        <f t="shared" si="3"/>
        <v/>
      </c>
      <c r="D16" s="12" t="str">
        <f t="shared" si="4"/>
        <v/>
      </c>
      <c r="E16" s="12" t="str">
        <f t="shared" si="0"/>
        <v/>
      </c>
      <c r="F16" s="12" t="str">
        <f t="shared" si="1"/>
        <v/>
      </c>
      <c r="G16" s="12" t="str">
        <f t="shared" si="2"/>
        <v/>
      </c>
      <c r="H16" s="8"/>
      <c r="I16" s="8"/>
    </row>
    <row r="17" spans="1:9" ht="19.5" customHeight="1" x14ac:dyDescent="0.25">
      <c r="A17" s="11"/>
      <c r="B17" s="11"/>
      <c r="C17" s="12" t="str">
        <f t="shared" si="3"/>
        <v/>
      </c>
      <c r="D17" s="12" t="str">
        <f t="shared" si="4"/>
        <v/>
      </c>
      <c r="E17" s="12" t="str">
        <f t="shared" si="0"/>
        <v/>
      </c>
      <c r="F17" s="12" t="str">
        <f t="shared" si="1"/>
        <v/>
      </c>
      <c r="G17" s="12" t="str">
        <f t="shared" si="2"/>
        <v/>
      </c>
      <c r="H17" s="7" t="s">
        <v>32</v>
      </c>
      <c r="I17" s="8" t="str">
        <f>IF(OR(I10="",I12=""),"","y = "&amp;TEXT(I12,"0.000000")&amp;"e^("&amp;TEXT(I10,"0.000000")&amp;"x)")</f>
        <v>y = 0.000.000e^(0.000.001x)</v>
      </c>
    </row>
    <row r="18" spans="1:9" ht="19.5" customHeight="1" x14ac:dyDescent="0.25">
      <c r="A18" s="11"/>
      <c r="B18" s="11"/>
      <c r="C18" s="12" t="str">
        <f t="shared" si="3"/>
        <v/>
      </c>
      <c r="D18" s="12" t="str">
        <f t="shared" si="4"/>
        <v/>
      </c>
      <c r="E18" s="12" t="str">
        <f t="shared" si="0"/>
        <v/>
      </c>
      <c r="F18" s="12" t="str">
        <f t="shared" si="1"/>
        <v/>
      </c>
      <c r="G18" s="12" t="str">
        <f t="shared" si="2"/>
        <v/>
      </c>
      <c r="H18" s="8"/>
      <c r="I18" s="8"/>
    </row>
    <row r="19" spans="1:9" ht="24" customHeight="1" x14ac:dyDescent="0.25">
      <c r="A19" s="11"/>
      <c r="B19" s="11"/>
      <c r="C19" s="12" t="str">
        <f t="shared" si="3"/>
        <v/>
      </c>
      <c r="D19" s="12" t="str">
        <f t="shared" si="4"/>
        <v/>
      </c>
      <c r="E19" s="12" t="str">
        <f t="shared" si="0"/>
        <v/>
      </c>
      <c r="F19" s="12" t="str">
        <f t="shared" si="1"/>
        <v/>
      </c>
      <c r="G19" s="12" t="str">
        <f t="shared" si="2"/>
        <v/>
      </c>
      <c r="H19" s="2" t="s">
        <v>65</v>
      </c>
      <c r="I19" s="2"/>
    </row>
    <row r="20" spans="1:9" ht="24" customHeight="1" x14ac:dyDescent="0.25">
      <c r="A20" s="11"/>
      <c r="B20" s="11"/>
      <c r="C20" s="12" t="str">
        <f t="shared" si="3"/>
        <v/>
      </c>
      <c r="D20" s="12" t="str">
        <f t="shared" si="4"/>
        <v/>
      </c>
      <c r="E20" s="12" t="str">
        <f t="shared" si="0"/>
        <v/>
      </c>
      <c r="F20" s="12" t="str">
        <f t="shared" si="1"/>
        <v/>
      </c>
      <c r="G20" s="12" t="str">
        <f t="shared" si="2"/>
        <v/>
      </c>
      <c r="H20" s="2"/>
      <c r="I20" s="2"/>
    </row>
    <row r="21" spans="1:9" ht="24" customHeight="1" x14ac:dyDescent="0.25">
      <c r="A21" s="11"/>
      <c r="B21" s="11"/>
      <c r="C21" s="12" t="str">
        <f t="shared" si="3"/>
        <v/>
      </c>
      <c r="D21" s="12" t="str">
        <f t="shared" si="4"/>
        <v/>
      </c>
      <c r="E21" s="12" t="str">
        <f t="shared" si="0"/>
        <v/>
      </c>
      <c r="F21" s="12" t="str">
        <f t="shared" si="1"/>
        <v/>
      </c>
      <c r="G21" s="12" t="str">
        <f t="shared" si="2"/>
        <v/>
      </c>
      <c r="H21" s="2"/>
      <c r="I21" s="2"/>
    </row>
    <row r="22" spans="1:9" ht="24" customHeight="1" x14ac:dyDescent="0.25">
      <c r="A22" s="11"/>
      <c r="B22" s="11"/>
      <c r="C22" s="12" t="str">
        <f t="shared" si="3"/>
        <v/>
      </c>
      <c r="D22" s="12" t="str">
        <f t="shared" si="4"/>
        <v/>
      </c>
      <c r="E22" s="12" t="str">
        <f t="shared" si="0"/>
        <v/>
      </c>
      <c r="F22" s="12" t="str">
        <f t="shared" si="1"/>
        <v/>
      </c>
      <c r="G22" s="12" t="str">
        <f t="shared" si="2"/>
        <v/>
      </c>
      <c r="H22" s="2"/>
      <c r="I22" s="2"/>
    </row>
    <row r="23" spans="1:9" ht="19.5" customHeight="1" x14ac:dyDescent="0.25">
      <c r="A23" s="11"/>
      <c r="B23" s="11"/>
      <c r="C23" s="12" t="str">
        <f t="shared" si="3"/>
        <v/>
      </c>
      <c r="D23" s="12" t="str">
        <f t="shared" si="4"/>
        <v/>
      </c>
      <c r="E23" s="12" t="str">
        <f t="shared" si="0"/>
        <v/>
      </c>
      <c r="F23" s="12" t="str">
        <f t="shared" si="1"/>
        <v/>
      </c>
      <c r="G23" s="12" t="str">
        <f t="shared" si="2"/>
        <v/>
      </c>
      <c r="H23" s="8"/>
      <c r="I23" s="8"/>
    </row>
    <row r="24" spans="1:9" ht="19.5" customHeight="1" x14ac:dyDescent="0.25">
      <c r="A24" s="11"/>
      <c r="B24" s="11"/>
      <c r="C24" s="12" t="str">
        <f t="shared" si="3"/>
        <v/>
      </c>
      <c r="D24" s="12" t="str">
        <f t="shared" si="4"/>
        <v/>
      </c>
      <c r="E24" s="12" t="str">
        <f t="shared" si="0"/>
        <v/>
      </c>
      <c r="F24" s="12" t="str">
        <f t="shared" si="1"/>
        <v/>
      </c>
      <c r="G24" s="12" t="str">
        <f t="shared" si="2"/>
        <v/>
      </c>
      <c r="H24" s="8"/>
      <c r="I24" s="8"/>
    </row>
    <row r="25" spans="1:9" ht="19.5" customHeight="1" x14ac:dyDescent="0.25">
      <c r="A25" s="11"/>
      <c r="B25" s="11"/>
      <c r="C25" s="12" t="str">
        <f t="shared" si="3"/>
        <v/>
      </c>
      <c r="D25" s="12" t="str">
        <f t="shared" si="4"/>
        <v/>
      </c>
      <c r="E25" s="12" t="str">
        <f t="shared" si="0"/>
        <v/>
      </c>
      <c r="F25" s="12" t="str">
        <f t="shared" si="1"/>
        <v/>
      </c>
      <c r="G25" s="12" t="str">
        <f t="shared" si="2"/>
        <v/>
      </c>
      <c r="H25" s="8"/>
      <c r="I25" s="8"/>
    </row>
    <row r="26" spans="1:9" ht="19.5" customHeight="1" x14ac:dyDescent="0.25">
      <c r="A26" s="11"/>
      <c r="B26" s="11"/>
      <c r="C26" s="12" t="str">
        <f t="shared" si="3"/>
        <v/>
      </c>
      <c r="D26" s="12" t="str">
        <f t="shared" si="4"/>
        <v/>
      </c>
      <c r="E26" s="12" t="str">
        <f t="shared" si="0"/>
        <v/>
      </c>
      <c r="F26" s="12" t="str">
        <f t="shared" si="1"/>
        <v/>
      </c>
      <c r="G26" s="12" t="str">
        <f t="shared" si="2"/>
        <v/>
      </c>
      <c r="H26" s="8"/>
      <c r="I26" s="8"/>
    </row>
    <row r="27" spans="1:9" ht="19.5" customHeight="1" x14ac:dyDescent="0.25">
      <c r="A27" s="11"/>
      <c r="B27" s="11"/>
      <c r="C27" s="12" t="str">
        <f t="shared" si="3"/>
        <v/>
      </c>
      <c r="D27" s="12" t="str">
        <f t="shared" si="4"/>
        <v/>
      </c>
      <c r="E27" s="12" t="str">
        <f t="shared" si="0"/>
        <v/>
      </c>
      <c r="F27" s="12" t="str">
        <f t="shared" si="1"/>
        <v/>
      </c>
      <c r="G27" s="12" t="str">
        <f t="shared" si="2"/>
        <v/>
      </c>
      <c r="H27" s="8"/>
      <c r="I27" s="8"/>
    </row>
    <row r="28" spans="1:9" ht="19.5" customHeight="1" x14ac:dyDescent="0.25">
      <c r="A28" s="11"/>
      <c r="B28" s="11"/>
      <c r="C28" s="12" t="str">
        <f t="shared" si="3"/>
        <v/>
      </c>
      <c r="D28" s="12" t="str">
        <f t="shared" si="4"/>
        <v/>
      </c>
      <c r="E28" s="12" t="str">
        <f t="shared" si="0"/>
        <v/>
      </c>
      <c r="F28" s="12" t="str">
        <f t="shared" si="1"/>
        <v/>
      </c>
      <c r="G28" s="12" t="str">
        <f t="shared" si="2"/>
        <v/>
      </c>
      <c r="H28" s="8"/>
      <c r="I28" s="8"/>
    </row>
    <row r="29" spans="1:9" ht="19.5" customHeight="1" x14ac:dyDescent="0.25">
      <c r="A29" s="11"/>
      <c r="B29" s="11"/>
      <c r="C29" s="12" t="str">
        <f t="shared" si="3"/>
        <v/>
      </c>
      <c r="D29" s="12" t="str">
        <f t="shared" si="4"/>
        <v/>
      </c>
      <c r="E29" s="12" t="str">
        <f t="shared" si="0"/>
        <v/>
      </c>
      <c r="F29" s="12" t="str">
        <f t="shared" si="1"/>
        <v/>
      </c>
      <c r="G29" s="12" t="str">
        <f t="shared" si="2"/>
        <v/>
      </c>
      <c r="H29" s="8"/>
      <c r="I29" s="8"/>
    </row>
    <row r="30" spans="1:9" ht="19.5" customHeight="1" x14ac:dyDescent="0.25">
      <c r="A30" s="11"/>
      <c r="B30" s="11"/>
      <c r="C30" s="12" t="str">
        <f t="shared" si="3"/>
        <v/>
      </c>
      <c r="D30" s="12" t="str">
        <f t="shared" si="4"/>
        <v/>
      </c>
      <c r="E30" s="12" t="str">
        <f t="shared" si="0"/>
        <v/>
      </c>
      <c r="F30" s="12" t="str">
        <f t="shared" si="1"/>
        <v/>
      </c>
      <c r="G30" s="12" t="str">
        <f t="shared" si="2"/>
        <v/>
      </c>
      <c r="H30" s="8"/>
      <c r="I30" s="8"/>
    </row>
    <row r="31" spans="1:9" ht="19.5" customHeight="1" x14ac:dyDescent="0.25">
      <c r="A31" s="11"/>
      <c r="B31" s="11"/>
      <c r="C31" s="12" t="str">
        <f t="shared" si="3"/>
        <v/>
      </c>
      <c r="D31" s="12" t="str">
        <f t="shared" si="4"/>
        <v/>
      </c>
      <c r="E31" s="12" t="str">
        <f t="shared" si="0"/>
        <v/>
      </c>
      <c r="F31" s="12" t="str">
        <f t="shared" si="1"/>
        <v/>
      </c>
      <c r="G31" s="12" t="str">
        <f t="shared" si="2"/>
        <v/>
      </c>
      <c r="H31" s="8"/>
      <c r="I31" s="8"/>
    </row>
    <row r="32" spans="1:9" ht="19.5" customHeight="1" x14ac:dyDescent="0.25">
      <c r="A32" s="11"/>
      <c r="B32" s="11"/>
      <c r="C32" s="12" t="str">
        <f t="shared" si="3"/>
        <v/>
      </c>
      <c r="D32" s="12" t="str">
        <f t="shared" si="4"/>
        <v/>
      </c>
      <c r="E32" s="12" t="str">
        <f t="shared" si="0"/>
        <v/>
      </c>
      <c r="F32" s="12" t="str">
        <f t="shared" si="1"/>
        <v/>
      </c>
      <c r="G32" s="12" t="str">
        <f t="shared" si="2"/>
        <v/>
      </c>
      <c r="H32" s="8"/>
      <c r="I32" s="8"/>
    </row>
    <row r="33" spans="1:9" ht="19.5" customHeight="1" x14ac:dyDescent="0.25">
      <c r="A33" s="11"/>
      <c r="B33" s="11"/>
      <c r="C33" s="12" t="str">
        <f t="shared" si="3"/>
        <v/>
      </c>
      <c r="D33" s="12" t="str">
        <f t="shared" si="4"/>
        <v/>
      </c>
      <c r="E33" s="12" t="str">
        <f t="shared" si="0"/>
        <v/>
      </c>
      <c r="F33" s="12" t="str">
        <f t="shared" si="1"/>
        <v/>
      </c>
      <c r="G33" s="12" t="str">
        <f t="shared" si="2"/>
        <v/>
      </c>
      <c r="H33" s="8"/>
      <c r="I33" s="8"/>
    </row>
    <row r="34" spans="1:9" ht="19.5" customHeight="1" x14ac:dyDescent="0.25">
      <c r="A34" s="11"/>
      <c r="B34" s="11"/>
      <c r="C34" s="12" t="str">
        <f t="shared" si="3"/>
        <v/>
      </c>
      <c r="D34" s="12" t="str">
        <f t="shared" si="4"/>
        <v/>
      </c>
      <c r="E34" s="12" t="str">
        <f t="shared" si="0"/>
        <v/>
      </c>
      <c r="F34" s="12" t="str">
        <f t="shared" si="1"/>
        <v/>
      </c>
      <c r="G34" s="12" t="str">
        <f t="shared" si="2"/>
        <v/>
      </c>
      <c r="H34" s="8"/>
      <c r="I34" s="8"/>
    </row>
    <row r="35" spans="1:9" ht="19.5" customHeight="1" x14ac:dyDescent="0.25">
      <c r="A35" s="11"/>
      <c r="B35" s="11"/>
      <c r="C35" s="12" t="str">
        <f t="shared" si="3"/>
        <v/>
      </c>
      <c r="D35" s="12" t="str">
        <f t="shared" si="4"/>
        <v/>
      </c>
      <c r="E35" s="12" t="str">
        <f t="shared" si="0"/>
        <v/>
      </c>
      <c r="F35" s="12" t="str">
        <f t="shared" si="1"/>
        <v/>
      </c>
      <c r="G35" s="12" t="str">
        <f t="shared" si="2"/>
        <v/>
      </c>
      <c r="H35" s="8"/>
      <c r="I35" s="8"/>
    </row>
    <row r="36" spans="1:9" ht="19.5" customHeight="1" x14ac:dyDescent="0.25">
      <c r="A36" s="11"/>
      <c r="B36" s="11"/>
      <c r="C36" s="12" t="str">
        <f t="shared" si="3"/>
        <v/>
      </c>
      <c r="D36" s="12" t="str">
        <f t="shared" si="4"/>
        <v/>
      </c>
      <c r="E36" s="12" t="str">
        <f t="shared" si="0"/>
        <v/>
      </c>
      <c r="F36" s="12" t="str">
        <f t="shared" si="1"/>
        <v/>
      </c>
      <c r="G36" s="12" t="str">
        <f t="shared" si="2"/>
        <v/>
      </c>
      <c r="H36" s="8"/>
      <c r="I36" s="8"/>
    </row>
    <row r="37" spans="1:9" ht="19.5" customHeight="1" x14ac:dyDescent="0.25">
      <c r="A37" s="11"/>
      <c r="B37" s="11"/>
      <c r="C37" s="12" t="str">
        <f t="shared" ref="C37:C68" si="5">IF(B37&gt;0,LN(B37),"")</f>
        <v/>
      </c>
      <c r="D37" s="12" t="str">
        <f t="shared" ref="D37:D68" si="6">IF(OR(A37="",C37=""),"",A37*C37)</f>
        <v/>
      </c>
      <c r="E37" s="12" t="str">
        <f t="shared" ref="E37:E68" si="7">IF(A37="","",A37^2)</f>
        <v/>
      </c>
      <c r="F37" s="12" t="str">
        <f t="shared" ref="F37:F68" si="8">IF(A37="","",$I$12*EXP($I$10*A37))</f>
        <v/>
      </c>
      <c r="G37" s="12" t="str">
        <f t="shared" ref="G37:G68" si="9">IF(OR(B37="",F37=""),"",B37-F37)</f>
        <v/>
      </c>
      <c r="H37" s="8"/>
      <c r="I37" s="8"/>
    </row>
    <row r="38" spans="1:9" ht="19.5" customHeight="1" x14ac:dyDescent="0.25">
      <c r="A38" s="11"/>
      <c r="B38" s="11"/>
      <c r="C38" s="12" t="str">
        <f t="shared" si="5"/>
        <v/>
      </c>
      <c r="D38" s="12" t="str">
        <f t="shared" si="6"/>
        <v/>
      </c>
      <c r="E38" s="12" t="str">
        <f t="shared" si="7"/>
        <v/>
      </c>
      <c r="F38" s="12" t="str">
        <f t="shared" si="8"/>
        <v/>
      </c>
      <c r="G38" s="12" t="str">
        <f t="shared" si="9"/>
        <v/>
      </c>
      <c r="H38" s="8"/>
      <c r="I38" s="8"/>
    </row>
    <row r="39" spans="1:9" ht="19.5" customHeight="1" x14ac:dyDescent="0.25">
      <c r="A39" s="11"/>
      <c r="B39" s="11"/>
      <c r="C39" s="12" t="str">
        <f t="shared" si="5"/>
        <v/>
      </c>
      <c r="D39" s="12" t="str">
        <f t="shared" si="6"/>
        <v/>
      </c>
      <c r="E39" s="12" t="str">
        <f t="shared" si="7"/>
        <v/>
      </c>
      <c r="F39" s="12" t="str">
        <f t="shared" si="8"/>
        <v/>
      </c>
      <c r="G39" s="12" t="str">
        <f t="shared" si="9"/>
        <v/>
      </c>
      <c r="H39" s="8"/>
      <c r="I39" s="8"/>
    </row>
    <row r="40" spans="1:9" ht="19.5" customHeight="1" x14ac:dyDescent="0.25">
      <c r="A40" s="11"/>
      <c r="B40" s="11"/>
      <c r="C40" s="12" t="str">
        <f t="shared" si="5"/>
        <v/>
      </c>
      <c r="D40" s="12" t="str">
        <f t="shared" si="6"/>
        <v/>
      </c>
      <c r="E40" s="12" t="str">
        <f t="shared" si="7"/>
        <v/>
      </c>
      <c r="F40" s="12" t="str">
        <f t="shared" si="8"/>
        <v/>
      </c>
      <c r="G40" s="12" t="str">
        <f t="shared" si="9"/>
        <v/>
      </c>
      <c r="H40" s="8"/>
      <c r="I40" s="8"/>
    </row>
    <row r="41" spans="1:9" ht="19.5" customHeight="1" x14ac:dyDescent="0.25">
      <c r="A41" s="11"/>
      <c r="B41" s="11"/>
      <c r="C41" s="12" t="str">
        <f t="shared" si="5"/>
        <v/>
      </c>
      <c r="D41" s="12" t="str">
        <f t="shared" si="6"/>
        <v/>
      </c>
      <c r="E41" s="12" t="str">
        <f t="shared" si="7"/>
        <v/>
      </c>
      <c r="F41" s="12" t="str">
        <f t="shared" si="8"/>
        <v/>
      </c>
      <c r="G41" s="12" t="str">
        <f t="shared" si="9"/>
        <v/>
      </c>
      <c r="H41" s="8"/>
      <c r="I41" s="8"/>
    </row>
    <row r="42" spans="1:9" ht="19.5" customHeight="1" x14ac:dyDescent="0.25">
      <c r="A42" s="11"/>
      <c r="B42" s="11"/>
      <c r="C42" s="12" t="str">
        <f t="shared" si="5"/>
        <v/>
      </c>
      <c r="D42" s="12" t="str">
        <f t="shared" si="6"/>
        <v/>
      </c>
      <c r="E42" s="12" t="str">
        <f t="shared" si="7"/>
        <v/>
      </c>
      <c r="F42" s="12" t="str">
        <f t="shared" si="8"/>
        <v/>
      </c>
      <c r="G42" s="12" t="str">
        <f t="shared" si="9"/>
        <v/>
      </c>
      <c r="H42" s="8"/>
      <c r="I42" s="8"/>
    </row>
    <row r="43" spans="1:9" ht="19.5" customHeight="1" x14ac:dyDescent="0.25">
      <c r="A43" s="11"/>
      <c r="B43" s="11"/>
      <c r="C43" s="12" t="str">
        <f t="shared" si="5"/>
        <v/>
      </c>
      <c r="D43" s="12" t="str">
        <f t="shared" si="6"/>
        <v/>
      </c>
      <c r="E43" s="12" t="str">
        <f t="shared" si="7"/>
        <v/>
      </c>
      <c r="F43" s="12" t="str">
        <f t="shared" si="8"/>
        <v/>
      </c>
      <c r="G43" s="12" t="str">
        <f t="shared" si="9"/>
        <v/>
      </c>
      <c r="H43" s="8"/>
      <c r="I43" s="8"/>
    </row>
    <row r="44" spans="1:9" ht="19.5" customHeight="1" x14ac:dyDescent="0.25">
      <c r="A44" s="11"/>
      <c r="B44" s="11"/>
      <c r="C44" s="12" t="str">
        <f t="shared" si="5"/>
        <v/>
      </c>
      <c r="D44" s="12" t="str">
        <f t="shared" si="6"/>
        <v/>
      </c>
      <c r="E44" s="12" t="str">
        <f t="shared" si="7"/>
        <v/>
      </c>
      <c r="F44" s="12" t="str">
        <f t="shared" si="8"/>
        <v/>
      </c>
      <c r="G44" s="12" t="str">
        <f t="shared" si="9"/>
        <v/>
      </c>
      <c r="H44" s="8"/>
      <c r="I44" s="8"/>
    </row>
    <row r="45" spans="1:9" ht="19.5" customHeight="1" x14ac:dyDescent="0.25">
      <c r="A45" s="11"/>
      <c r="B45" s="11"/>
      <c r="C45" s="12" t="str">
        <f t="shared" si="5"/>
        <v/>
      </c>
      <c r="D45" s="12" t="str">
        <f t="shared" si="6"/>
        <v/>
      </c>
      <c r="E45" s="12" t="str">
        <f t="shared" si="7"/>
        <v/>
      </c>
      <c r="F45" s="12" t="str">
        <f t="shared" si="8"/>
        <v/>
      </c>
      <c r="G45" s="12" t="str">
        <f t="shared" si="9"/>
        <v/>
      </c>
      <c r="H45" s="8"/>
      <c r="I45" s="8"/>
    </row>
    <row r="46" spans="1:9" ht="19.5" customHeight="1" x14ac:dyDescent="0.25">
      <c r="A46" s="11"/>
      <c r="B46" s="11"/>
      <c r="C46" s="12" t="str">
        <f t="shared" si="5"/>
        <v/>
      </c>
      <c r="D46" s="12" t="str">
        <f t="shared" si="6"/>
        <v/>
      </c>
      <c r="E46" s="12" t="str">
        <f t="shared" si="7"/>
        <v/>
      </c>
      <c r="F46" s="12" t="str">
        <f t="shared" si="8"/>
        <v/>
      </c>
      <c r="G46" s="12" t="str">
        <f t="shared" si="9"/>
        <v/>
      </c>
      <c r="H46" s="8"/>
      <c r="I46" s="8"/>
    </row>
    <row r="47" spans="1:9" ht="19.5" customHeight="1" x14ac:dyDescent="0.25">
      <c r="A47" s="11"/>
      <c r="B47" s="11"/>
      <c r="C47" s="12" t="str">
        <f t="shared" si="5"/>
        <v/>
      </c>
      <c r="D47" s="12" t="str">
        <f t="shared" si="6"/>
        <v/>
      </c>
      <c r="E47" s="12" t="str">
        <f t="shared" si="7"/>
        <v/>
      </c>
      <c r="F47" s="12" t="str">
        <f t="shared" si="8"/>
        <v/>
      </c>
      <c r="G47" s="12" t="str">
        <f t="shared" si="9"/>
        <v/>
      </c>
      <c r="H47" s="8"/>
      <c r="I47" s="8"/>
    </row>
    <row r="48" spans="1:9" ht="19.5" customHeight="1" x14ac:dyDescent="0.25">
      <c r="A48" s="11"/>
      <c r="B48" s="11"/>
      <c r="C48" s="12" t="str">
        <f t="shared" si="5"/>
        <v/>
      </c>
      <c r="D48" s="12" t="str">
        <f t="shared" si="6"/>
        <v/>
      </c>
      <c r="E48" s="12" t="str">
        <f t="shared" si="7"/>
        <v/>
      </c>
      <c r="F48" s="12" t="str">
        <f t="shared" si="8"/>
        <v/>
      </c>
      <c r="G48" s="12" t="str">
        <f t="shared" si="9"/>
        <v/>
      </c>
      <c r="H48" s="8"/>
      <c r="I48" s="8"/>
    </row>
    <row r="49" spans="1:9" ht="19.5" customHeight="1" x14ac:dyDescent="0.25">
      <c r="A49" s="11"/>
      <c r="B49" s="11"/>
      <c r="C49" s="12" t="str">
        <f t="shared" si="5"/>
        <v/>
      </c>
      <c r="D49" s="12" t="str">
        <f t="shared" si="6"/>
        <v/>
      </c>
      <c r="E49" s="12" t="str">
        <f t="shared" si="7"/>
        <v/>
      </c>
      <c r="F49" s="12" t="str">
        <f t="shared" si="8"/>
        <v/>
      </c>
      <c r="G49" s="12" t="str">
        <f t="shared" si="9"/>
        <v/>
      </c>
      <c r="H49" s="8"/>
      <c r="I49" s="8"/>
    </row>
    <row r="50" spans="1:9" ht="19.5" customHeight="1" x14ac:dyDescent="0.25">
      <c r="A50" s="11"/>
      <c r="B50" s="11"/>
      <c r="C50" s="12" t="str">
        <f t="shared" si="5"/>
        <v/>
      </c>
      <c r="D50" s="12" t="str">
        <f t="shared" si="6"/>
        <v/>
      </c>
      <c r="E50" s="12" t="str">
        <f t="shared" si="7"/>
        <v/>
      </c>
      <c r="F50" s="12" t="str">
        <f t="shared" si="8"/>
        <v/>
      </c>
      <c r="G50" s="12" t="str">
        <f t="shared" si="9"/>
        <v/>
      </c>
      <c r="H50" s="8"/>
      <c r="I50" s="8"/>
    </row>
    <row r="51" spans="1:9" ht="19.5" customHeight="1" x14ac:dyDescent="0.25">
      <c r="A51" s="11"/>
      <c r="B51" s="11"/>
      <c r="C51" s="12" t="str">
        <f t="shared" si="5"/>
        <v/>
      </c>
      <c r="D51" s="12" t="str">
        <f t="shared" si="6"/>
        <v/>
      </c>
      <c r="E51" s="12" t="str">
        <f t="shared" si="7"/>
        <v/>
      </c>
      <c r="F51" s="12" t="str">
        <f t="shared" si="8"/>
        <v/>
      </c>
      <c r="G51" s="12" t="str">
        <f t="shared" si="9"/>
        <v/>
      </c>
      <c r="H51" s="8"/>
      <c r="I51" s="8"/>
    </row>
    <row r="52" spans="1:9" ht="19.5" customHeight="1" x14ac:dyDescent="0.25">
      <c r="A52" s="11"/>
      <c r="B52" s="11"/>
      <c r="C52" s="12" t="str">
        <f t="shared" si="5"/>
        <v/>
      </c>
      <c r="D52" s="12" t="str">
        <f t="shared" si="6"/>
        <v/>
      </c>
      <c r="E52" s="12" t="str">
        <f t="shared" si="7"/>
        <v/>
      </c>
      <c r="F52" s="12" t="str">
        <f t="shared" si="8"/>
        <v/>
      </c>
      <c r="G52" s="12" t="str">
        <f t="shared" si="9"/>
        <v/>
      </c>
      <c r="H52" s="8"/>
      <c r="I52" s="8"/>
    </row>
    <row r="53" spans="1:9" ht="19.5" customHeight="1" x14ac:dyDescent="0.25">
      <c r="A53" s="11"/>
      <c r="B53" s="11"/>
      <c r="C53" s="12" t="str">
        <f t="shared" si="5"/>
        <v/>
      </c>
      <c r="D53" s="12" t="str">
        <f t="shared" si="6"/>
        <v/>
      </c>
      <c r="E53" s="12" t="str">
        <f t="shared" si="7"/>
        <v/>
      </c>
      <c r="F53" s="12" t="str">
        <f t="shared" si="8"/>
        <v/>
      </c>
      <c r="G53" s="12" t="str">
        <f t="shared" si="9"/>
        <v/>
      </c>
      <c r="H53" s="8"/>
      <c r="I53" s="8"/>
    </row>
    <row r="54" spans="1:9" ht="19.5" customHeight="1" x14ac:dyDescent="0.25">
      <c r="A54" s="11"/>
      <c r="B54" s="11"/>
      <c r="C54" s="12" t="str">
        <f t="shared" si="5"/>
        <v/>
      </c>
      <c r="D54" s="12" t="str">
        <f t="shared" si="6"/>
        <v/>
      </c>
      <c r="E54" s="12" t="str">
        <f t="shared" si="7"/>
        <v/>
      </c>
      <c r="F54" s="12" t="str">
        <f t="shared" si="8"/>
        <v/>
      </c>
      <c r="G54" s="12" t="str">
        <f t="shared" si="9"/>
        <v/>
      </c>
      <c r="H54" s="8"/>
      <c r="I54" s="8"/>
    </row>
    <row r="55" spans="1:9" ht="19.5" customHeight="1" x14ac:dyDescent="0.25">
      <c r="A55" s="11"/>
      <c r="B55" s="11"/>
      <c r="C55" s="12" t="str">
        <f t="shared" si="5"/>
        <v/>
      </c>
      <c r="D55" s="12" t="str">
        <f t="shared" si="6"/>
        <v/>
      </c>
      <c r="E55" s="12" t="str">
        <f t="shared" si="7"/>
        <v/>
      </c>
      <c r="F55" s="12" t="str">
        <f t="shared" si="8"/>
        <v/>
      </c>
      <c r="G55" s="12" t="str">
        <f t="shared" si="9"/>
        <v/>
      </c>
      <c r="H55" s="8"/>
      <c r="I55" s="8"/>
    </row>
    <row r="56" spans="1:9" ht="19.5" customHeight="1" x14ac:dyDescent="0.25">
      <c r="A56" s="11"/>
      <c r="B56" s="11"/>
      <c r="C56" s="12" t="str">
        <f t="shared" si="5"/>
        <v/>
      </c>
      <c r="D56" s="12" t="str">
        <f t="shared" si="6"/>
        <v/>
      </c>
      <c r="E56" s="12" t="str">
        <f t="shared" si="7"/>
        <v/>
      </c>
      <c r="F56" s="12" t="str">
        <f t="shared" si="8"/>
        <v/>
      </c>
      <c r="G56" s="12" t="str">
        <f t="shared" si="9"/>
        <v/>
      </c>
      <c r="H56" s="8"/>
      <c r="I56" s="8"/>
    </row>
    <row r="57" spans="1:9" ht="19.5" customHeight="1" x14ac:dyDescent="0.25">
      <c r="A57" s="11"/>
      <c r="B57" s="11"/>
      <c r="C57" s="12" t="str">
        <f t="shared" si="5"/>
        <v/>
      </c>
      <c r="D57" s="12" t="str">
        <f t="shared" si="6"/>
        <v/>
      </c>
      <c r="E57" s="12" t="str">
        <f t="shared" si="7"/>
        <v/>
      </c>
      <c r="F57" s="12" t="str">
        <f t="shared" si="8"/>
        <v/>
      </c>
      <c r="G57" s="12" t="str">
        <f t="shared" si="9"/>
        <v/>
      </c>
      <c r="H57" s="8"/>
      <c r="I57" s="8"/>
    </row>
    <row r="58" spans="1:9" ht="19.5" customHeight="1" x14ac:dyDescent="0.25">
      <c r="A58" s="11"/>
      <c r="B58" s="11"/>
      <c r="C58" s="12" t="str">
        <f t="shared" si="5"/>
        <v/>
      </c>
      <c r="D58" s="12" t="str">
        <f t="shared" si="6"/>
        <v/>
      </c>
      <c r="E58" s="12" t="str">
        <f t="shared" si="7"/>
        <v/>
      </c>
      <c r="F58" s="12" t="str">
        <f t="shared" si="8"/>
        <v/>
      </c>
      <c r="G58" s="12" t="str">
        <f t="shared" si="9"/>
        <v/>
      </c>
      <c r="H58" s="8"/>
      <c r="I58" s="8"/>
    </row>
    <row r="59" spans="1:9" ht="19.5" customHeight="1" x14ac:dyDescent="0.25">
      <c r="A59" s="11"/>
      <c r="B59" s="11"/>
      <c r="C59" s="12" t="str">
        <f t="shared" si="5"/>
        <v/>
      </c>
      <c r="D59" s="12" t="str">
        <f t="shared" si="6"/>
        <v/>
      </c>
      <c r="E59" s="12" t="str">
        <f t="shared" si="7"/>
        <v/>
      </c>
      <c r="F59" s="12" t="str">
        <f t="shared" si="8"/>
        <v/>
      </c>
      <c r="G59" s="12" t="str">
        <f t="shared" si="9"/>
        <v/>
      </c>
      <c r="H59" s="8"/>
      <c r="I59" s="8"/>
    </row>
    <row r="60" spans="1:9" ht="19.5" customHeight="1" x14ac:dyDescent="0.25">
      <c r="A60" s="11"/>
      <c r="B60" s="11"/>
      <c r="C60" s="12" t="str">
        <f t="shared" si="5"/>
        <v/>
      </c>
      <c r="D60" s="12" t="str">
        <f t="shared" si="6"/>
        <v/>
      </c>
      <c r="E60" s="12" t="str">
        <f t="shared" si="7"/>
        <v/>
      </c>
      <c r="F60" s="12" t="str">
        <f t="shared" si="8"/>
        <v/>
      </c>
      <c r="G60" s="12" t="str">
        <f t="shared" si="9"/>
        <v/>
      </c>
      <c r="H60" s="8"/>
      <c r="I60" s="8"/>
    </row>
    <row r="61" spans="1:9" ht="19.5" customHeight="1" x14ac:dyDescent="0.25">
      <c r="A61" s="11"/>
      <c r="B61" s="11"/>
      <c r="C61" s="12" t="str">
        <f t="shared" si="5"/>
        <v/>
      </c>
      <c r="D61" s="12" t="str">
        <f t="shared" si="6"/>
        <v/>
      </c>
      <c r="E61" s="12" t="str">
        <f t="shared" si="7"/>
        <v/>
      </c>
      <c r="F61" s="12" t="str">
        <f t="shared" si="8"/>
        <v/>
      </c>
      <c r="G61" s="12" t="str">
        <f t="shared" si="9"/>
        <v/>
      </c>
      <c r="H61" s="8"/>
      <c r="I61" s="8"/>
    </row>
    <row r="62" spans="1:9" ht="19.5" customHeight="1" x14ac:dyDescent="0.25">
      <c r="A62" s="11"/>
      <c r="B62" s="11"/>
      <c r="C62" s="12" t="str">
        <f t="shared" si="5"/>
        <v/>
      </c>
      <c r="D62" s="12" t="str">
        <f t="shared" si="6"/>
        <v/>
      </c>
      <c r="E62" s="12" t="str">
        <f t="shared" si="7"/>
        <v/>
      </c>
      <c r="F62" s="12" t="str">
        <f t="shared" si="8"/>
        <v/>
      </c>
      <c r="G62" s="12" t="str">
        <f t="shared" si="9"/>
        <v/>
      </c>
      <c r="H62" s="8"/>
      <c r="I62" s="8"/>
    </row>
    <row r="63" spans="1:9" ht="19.5" customHeight="1" x14ac:dyDescent="0.25">
      <c r="A63" s="11"/>
      <c r="B63" s="11"/>
      <c r="C63" s="12" t="str">
        <f t="shared" si="5"/>
        <v/>
      </c>
      <c r="D63" s="12" t="str">
        <f t="shared" si="6"/>
        <v/>
      </c>
      <c r="E63" s="12" t="str">
        <f t="shared" si="7"/>
        <v/>
      </c>
      <c r="F63" s="12" t="str">
        <f t="shared" si="8"/>
        <v/>
      </c>
      <c r="G63" s="12" t="str">
        <f t="shared" si="9"/>
        <v/>
      </c>
      <c r="H63" s="8"/>
      <c r="I63" s="8"/>
    </row>
    <row r="64" spans="1:9" ht="19.5" customHeight="1" x14ac:dyDescent="0.25">
      <c r="A64" s="11"/>
      <c r="B64" s="11"/>
      <c r="C64" s="12" t="str">
        <f t="shared" si="5"/>
        <v/>
      </c>
      <c r="D64" s="12" t="str">
        <f t="shared" si="6"/>
        <v/>
      </c>
      <c r="E64" s="12" t="str">
        <f t="shared" si="7"/>
        <v/>
      </c>
      <c r="F64" s="12" t="str">
        <f t="shared" si="8"/>
        <v/>
      </c>
      <c r="G64" s="12" t="str">
        <f t="shared" si="9"/>
        <v/>
      </c>
      <c r="H64" s="8"/>
      <c r="I64" s="8"/>
    </row>
    <row r="65" spans="1:9" ht="19.5" customHeight="1" x14ac:dyDescent="0.25">
      <c r="A65" s="11"/>
      <c r="B65" s="11"/>
      <c r="C65" s="12" t="str">
        <f t="shared" si="5"/>
        <v/>
      </c>
      <c r="D65" s="12" t="str">
        <f t="shared" si="6"/>
        <v/>
      </c>
      <c r="E65" s="12" t="str">
        <f t="shared" si="7"/>
        <v/>
      </c>
      <c r="F65" s="12" t="str">
        <f t="shared" si="8"/>
        <v/>
      </c>
      <c r="G65" s="12" t="str">
        <f t="shared" si="9"/>
        <v/>
      </c>
      <c r="H65" s="8"/>
      <c r="I65" s="8"/>
    </row>
    <row r="66" spans="1:9" ht="19.5" customHeight="1" x14ac:dyDescent="0.25">
      <c r="A66" s="11"/>
      <c r="B66" s="11"/>
      <c r="C66" s="12" t="str">
        <f t="shared" si="5"/>
        <v/>
      </c>
      <c r="D66" s="12" t="str">
        <f t="shared" si="6"/>
        <v/>
      </c>
      <c r="E66" s="12" t="str">
        <f t="shared" si="7"/>
        <v/>
      </c>
      <c r="F66" s="12" t="str">
        <f t="shared" si="8"/>
        <v/>
      </c>
      <c r="G66" s="12" t="str">
        <f t="shared" si="9"/>
        <v/>
      </c>
      <c r="H66" s="8"/>
      <c r="I66" s="8"/>
    </row>
    <row r="67" spans="1:9" ht="19.5" customHeight="1" x14ac:dyDescent="0.25">
      <c r="A67" s="11"/>
      <c r="B67" s="11"/>
      <c r="C67" s="12" t="str">
        <f t="shared" si="5"/>
        <v/>
      </c>
      <c r="D67" s="12" t="str">
        <f t="shared" si="6"/>
        <v/>
      </c>
      <c r="E67" s="12" t="str">
        <f t="shared" si="7"/>
        <v/>
      </c>
      <c r="F67" s="12" t="str">
        <f t="shared" si="8"/>
        <v/>
      </c>
      <c r="G67" s="12" t="str">
        <f t="shared" si="9"/>
        <v/>
      </c>
      <c r="H67" s="8"/>
      <c r="I67" s="8"/>
    </row>
    <row r="68" spans="1:9" ht="19.5" customHeight="1" x14ac:dyDescent="0.25">
      <c r="A68" s="11"/>
      <c r="B68" s="11"/>
      <c r="C68" s="12" t="str">
        <f t="shared" si="5"/>
        <v/>
      </c>
      <c r="D68" s="12" t="str">
        <f t="shared" si="6"/>
        <v/>
      </c>
      <c r="E68" s="12" t="str">
        <f t="shared" si="7"/>
        <v/>
      </c>
      <c r="F68" s="12" t="str">
        <f t="shared" si="8"/>
        <v/>
      </c>
      <c r="G68" s="12" t="str">
        <f t="shared" si="9"/>
        <v/>
      </c>
      <c r="H68" s="8"/>
      <c r="I68" s="8"/>
    </row>
    <row r="69" spans="1:9" ht="19.5" customHeight="1" x14ac:dyDescent="0.25">
      <c r="A69" s="11"/>
      <c r="B69" s="11"/>
      <c r="C69" s="12" t="str">
        <f t="shared" ref="C69:C100" si="10">IF(B69&gt;0,LN(B69),"")</f>
        <v/>
      </c>
      <c r="D69" s="12" t="str">
        <f t="shared" ref="D69:D100" si="11">IF(OR(A69="",C69=""),"",A69*C69)</f>
        <v/>
      </c>
      <c r="E69" s="12" t="str">
        <f t="shared" ref="E69:E104" si="12">IF(A69="","",A69^2)</f>
        <v/>
      </c>
      <c r="F69" s="12" t="str">
        <f t="shared" ref="F69:F104" si="13">IF(A69="","",$I$12*EXP($I$10*A69))</f>
        <v/>
      </c>
      <c r="G69" s="12" t="str">
        <f t="shared" ref="G69:G100" si="14">IF(OR(B69="",F69=""),"",B69-F69)</f>
        <v/>
      </c>
      <c r="H69" s="8"/>
      <c r="I69" s="8"/>
    </row>
    <row r="70" spans="1:9" ht="19.5" customHeight="1" x14ac:dyDescent="0.25">
      <c r="A70" s="11"/>
      <c r="B70" s="11"/>
      <c r="C70" s="12" t="str">
        <f t="shared" si="10"/>
        <v/>
      </c>
      <c r="D70" s="12" t="str">
        <f t="shared" si="11"/>
        <v/>
      </c>
      <c r="E70" s="12" t="str">
        <f t="shared" si="12"/>
        <v/>
      </c>
      <c r="F70" s="12" t="str">
        <f t="shared" si="13"/>
        <v/>
      </c>
      <c r="G70" s="12" t="str">
        <f t="shared" si="14"/>
        <v/>
      </c>
      <c r="H70" s="8"/>
      <c r="I70" s="8"/>
    </row>
    <row r="71" spans="1:9" ht="19.5" customHeight="1" x14ac:dyDescent="0.25">
      <c r="A71" s="11"/>
      <c r="B71" s="11"/>
      <c r="C71" s="12" t="str">
        <f t="shared" si="10"/>
        <v/>
      </c>
      <c r="D71" s="12" t="str">
        <f t="shared" si="11"/>
        <v/>
      </c>
      <c r="E71" s="12" t="str">
        <f t="shared" si="12"/>
        <v/>
      </c>
      <c r="F71" s="12" t="str">
        <f t="shared" si="13"/>
        <v/>
      </c>
      <c r="G71" s="12" t="str">
        <f t="shared" si="14"/>
        <v/>
      </c>
      <c r="H71" s="8"/>
      <c r="I71" s="8"/>
    </row>
    <row r="72" spans="1:9" ht="19.5" customHeight="1" x14ac:dyDescent="0.25">
      <c r="A72" s="11"/>
      <c r="B72" s="11"/>
      <c r="C72" s="12" t="str">
        <f t="shared" si="10"/>
        <v/>
      </c>
      <c r="D72" s="12" t="str">
        <f t="shared" si="11"/>
        <v/>
      </c>
      <c r="E72" s="12" t="str">
        <f t="shared" si="12"/>
        <v/>
      </c>
      <c r="F72" s="12" t="str">
        <f t="shared" si="13"/>
        <v/>
      </c>
      <c r="G72" s="12" t="str">
        <f t="shared" si="14"/>
        <v/>
      </c>
      <c r="H72" s="8"/>
      <c r="I72" s="8"/>
    </row>
    <row r="73" spans="1:9" ht="19.5" customHeight="1" x14ac:dyDescent="0.25">
      <c r="A73" s="11"/>
      <c r="B73" s="11"/>
      <c r="C73" s="12" t="str">
        <f t="shared" si="10"/>
        <v/>
      </c>
      <c r="D73" s="12" t="str">
        <f t="shared" si="11"/>
        <v/>
      </c>
      <c r="E73" s="12" t="str">
        <f t="shared" si="12"/>
        <v/>
      </c>
      <c r="F73" s="12" t="str">
        <f t="shared" si="13"/>
        <v/>
      </c>
      <c r="G73" s="12" t="str">
        <f t="shared" si="14"/>
        <v/>
      </c>
      <c r="H73" s="8"/>
      <c r="I73" s="8"/>
    </row>
    <row r="74" spans="1:9" ht="19.5" customHeight="1" x14ac:dyDescent="0.25">
      <c r="A74" s="11"/>
      <c r="B74" s="11"/>
      <c r="C74" s="12" t="str">
        <f t="shared" si="10"/>
        <v/>
      </c>
      <c r="D74" s="12" t="str">
        <f t="shared" si="11"/>
        <v/>
      </c>
      <c r="E74" s="12" t="str">
        <f t="shared" si="12"/>
        <v/>
      </c>
      <c r="F74" s="12" t="str">
        <f t="shared" si="13"/>
        <v/>
      </c>
      <c r="G74" s="12" t="str">
        <f t="shared" si="14"/>
        <v/>
      </c>
      <c r="H74" s="8"/>
      <c r="I74" s="8"/>
    </row>
    <row r="75" spans="1:9" ht="19.5" customHeight="1" x14ac:dyDescent="0.25">
      <c r="A75" s="11"/>
      <c r="B75" s="11"/>
      <c r="C75" s="12" t="str">
        <f t="shared" si="10"/>
        <v/>
      </c>
      <c r="D75" s="12" t="str">
        <f t="shared" si="11"/>
        <v/>
      </c>
      <c r="E75" s="12" t="str">
        <f t="shared" si="12"/>
        <v/>
      </c>
      <c r="F75" s="12" t="str">
        <f t="shared" si="13"/>
        <v/>
      </c>
      <c r="G75" s="12" t="str">
        <f t="shared" si="14"/>
        <v/>
      </c>
      <c r="H75" s="8"/>
      <c r="I75" s="8"/>
    </row>
    <row r="76" spans="1:9" ht="19.5" customHeight="1" x14ac:dyDescent="0.25">
      <c r="A76" s="11"/>
      <c r="B76" s="11"/>
      <c r="C76" s="12" t="str">
        <f t="shared" si="10"/>
        <v/>
      </c>
      <c r="D76" s="12" t="str">
        <f t="shared" si="11"/>
        <v/>
      </c>
      <c r="E76" s="12" t="str">
        <f t="shared" si="12"/>
        <v/>
      </c>
      <c r="F76" s="12" t="str">
        <f t="shared" si="13"/>
        <v/>
      </c>
      <c r="G76" s="12" t="str">
        <f t="shared" si="14"/>
        <v/>
      </c>
      <c r="H76" s="8"/>
      <c r="I76" s="8"/>
    </row>
    <row r="77" spans="1:9" ht="19.5" customHeight="1" x14ac:dyDescent="0.25">
      <c r="A77" s="11"/>
      <c r="B77" s="11"/>
      <c r="C77" s="12" t="str">
        <f t="shared" si="10"/>
        <v/>
      </c>
      <c r="D77" s="12" t="str">
        <f t="shared" si="11"/>
        <v/>
      </c>
      <c r="E77" s="12" t="str">
        <f t="shared" si="12"/>
        <v/>
      </c>
      <c r="F77" s="12" t="str">
        <f t="shared" si="13"/>
        <v/>
      </c>
      <c r="G77" s="12" t="str">
        <f t="shared" si="14"/>
        <v/>
      </c>
      <c r="H77" s="8"/>
      <c r="I77" s="8"/>
    </row>
    <row r="78" spans="1:9" ht="19.5" customHeight="1" x14ac:dyDescent="0.25">
      <c r="A78" s="11"/>
      <c r="B78" s="11"/>
      <c r="C78" s="12" t="str">
        <f t="shared" si="10"/>
        <v/>
      </c>
      <c r="D78" s="12" t="str">
        <f t="shared" si="11"/>
        <v/>
      </c>
      <c r="E78" s="12" t="str">
        <f t="shared" si="12"/>
        <v/>
      </c>
      <c r="F78" s="12" t="str">
        <f t="shared" si="13"/>
        <v/>
      </c>
      <c r="G78" s="12" t="str">
        <f t="shared" si="14"/>
        <v/>
      </c>
      <c r="H78" s="8"/>
      <c r="I78" s="8"/>
    </row>
    <row r="79" spans="1:9" ht="19.5" customHeight="1" x14ac:dyDescent="0.25">
      <c r="A79" s="11"/>
      <c r="B79" s="11"/>
      <c r="C79" s="12" t="str">
        <f t="shared" si="10"/>
        <v/>
      </c>
      <c r="D79" s="12" t="str">
        <f t="shared" si="11"/>
        <v/>
      </c>
      <c r="E79" s="12" t="str">
        <f t="shared" si="12"/>
        <v/>
      </c>
      <c r="F79" s="12" t="str">
        <f t="shared" si="13"/>
        <v/>
      </c>
      <c r="G79" s="12" t="str">
        <f t="shared" si="14"/>
        <v/>
      </c>
      <c r="H79" s="8"/>
      <c r="I79" s="8"/>
    </row>
    <row r="80" spans="1:9" ht="19.5" customHeight="1" x14ac:dyDescent="0.25">
      <c r="A80" s="11"/>
      <c r="B80" s="11"/>
      <c r="C80" s="12" t="str">
        <f t="shared" si="10"/>
        <v/>
      </c>
      <c r="D80" s="12" t="str">
        <f t="shared" si="11"/>
        <v/>
      </c>
      <c r="E80" s="12" t="str">
        <f t="shared" si="12"/>
        <v/>
      </c>
      <c r="F80" s="12" t="str">
        <f t="shared" si="13"/>
        <v/>
      </c>
      <c r="G80" s="12" t="str">
        <f t="shared" si="14"/>
        <v/>
      </c>
      <c r="H80" s="8"/>
      <c r="I80" s="8"/>
    </row>
    <row r="81" spans="1:9" ht="19.5" customHeight="1" x14ac:dyDescent="0.25">
      <c r="A81" s="11"/>
      <c r="B81" s="11"/>
      <c r="C81" s="12" t="str">
        <f t="shared" si="10"/>
        <v/>
      </c>
      <c r="D81" s="12" t="str">
        <f t="shared" si="11"/>
        <v/>
      </c>
      <c r="E81" s="12" t="str">
        <f t="shared" si="12"/>
        <v/>
      </c>
      <c r="F81" s="12" t="str">
        <f t="shared" si="13"/>
        <v/>
      </c>
      <c r="G81" s="12" t="str">
        <f t="shared" si="14"/>
        <v/>
      </c>
      <c r="H81" s="8"/>
      <c r="I81" s="8"/>
    </row>
    <row r="82" spans="1:9" ht="19.5" customHeight="1" x14ac:dyDescent="0.25">
      <c r="A82" s="11"/>
      <c r="B82" s="11"/>
      <c r="C82" s="12" t="str">
        <f t="shared" si="10"/>
        <v/>
      </c>
      <c r="D82" s="12" t="str">
        <f t="shared" si="11"/>
        <v/>
      </c>
      <c r="E82" s="12" t="str">
        <f t="shared" si="12"/>
        <v/>
      </c>
      <c r="F82" s="12" t="str">
        <f t="shared" si="13"/>
        <v/>
      </c>
      <c r="G82" s="12" t="str">
        <f t="shared" si="14"/>
        <v/>
      </c>
      <c r="H82" s="8"/>
      <c r="I82" s="8"/>
    </row>
    <row r="83" spans="1:9" ht="19.5" customHeight="1" x14ac:dyDescent="0.25">
      <c r="A83" s="11"/>
      <c r="B83" s="11"/>
      <c r="C83" s="12" t="str">
        <f t="shared" si="10"/>
        <v/>
      </c>
      <c r="D83" s="12" t="str">
        <f t="shared" si="11"/>
        <v/>
      </c>
      <c r="E83" s="12" t="str">
        <f t="shared" si="12"/>
        <v/>
      </c>
      <c r="F83" s="12" t="str">
        <f t="shared" si="13"/>
        <v/>
      </c>
      <c r="G83" s="12" t="str">
        <f t="shared" si="14"/>
        <v/>
      </c>
      <c r="H83" s="8"/>
      <c r="I83" s="8"/>
    </row>
    <row r="84" spans="1:9" ht="19.5" customHeight="1" x14ac:dyDescent="0.25">
      <c r="A84" s="11"/>
      <c r="B84" s="11"/>
      <c r="C84" s="12" t="str">
        <f t="shared" si="10"/>
        <v/>
      </c>
      <c r="D84" s="12" t="str">
        <f t="shared" si="11"/>
        <v/>
      </c>
      <c r="E84" s="12" t="str">
        <f t="shared" si="12"/>
        <v/>
      </c>
      <c r="F84" s="12" t="str">
        <f t="shared" si="13"/>
        <v/>
      </c>
      <c r="G84" s="12" t="str">
        <f t="shared" si="14"/>
        <v/>
      </c>
      <c r="H84" s="8"/>
      <c r="I84" s="8"/>
    </row>
    <row r="85" spans="1:9" ht="19.5" customHeight="1" x14ac:dyDescent="0.25">
      <c r="A85" s="11"/>
      <c r="B85" s="11"/>
      <c r="C85" s="12" t="str">
        <f t="shared" si="10"/>
        <v/>
      </c>
      <c r="D85" s="12" t="str">
        <f t="shared" si="11"/>
        <v/>
      </c>
      <c r="E85" s="12" t="str">
        <f t="shared" si="12"/>
        <v/>
      </c>
      <c r="F85" s="12" t="str">
        <f t="shared" si="13"/>
        <v/>
      </c>
      <c r="G85" s="12" t="str">
        <f t="shared" si="14"/>
        <v/>
      </c>
      <c r="H85" s="8"/>
      <c r="I85" s="8"/>
    </row>
    <row r="86" spans="1:9" ht="19.5" customHeight="1" x14ac:dyDescent="0.25">
      <c r="A86" s="11"/>
      <c r="B86" s="11"/>
      <c r="C86" s="12" t="str">
        <f t="shared" si="10"/>
        <v/>
      </c>
      <c r="D86" s="12" t="str">
        <f t="shared" si="11"/>
        <v/>
      </c>
      <c r="E86" s="12" t="str">
        <f t="shared" si="12"/>
        <v/>
      </c>
      <c r="F86" s="12" t="str">
        <f t="shared" si="13"/>
        <v/>
      </c>
      <c r="G86" s="12" t="str">
        <f t="shared" si="14"/>
        <v/>
      </c>
      <c r="H86" s="8"/>
      <c r="I86" s="8"/>
    </row>
    <row r="87" spans="1:9" ht="19.5" customHeight="1" x14ac:dyDescent="0.25">
      <c r="A87" s="11"/>
      <c r="B87" s="11"/>
      <c r="C87" s="12" t="str">
        <f t="shared" si="10"/>
        <v/>
      </c>
      <c r="D87" s="12" t="str">
        <f t="shared" si="11"/>
        <v/>
      </c>
      <c r="E87" s="12" t="str">
        <f t="shared" si="12"/>
        <v/>
      </c>
      <c r="F87" s="12" t="str">
        <f t="shared" si="13"/>
        <v/>
      </c>
      <c r="G87" s="12" t="str">
        <f t="shared" si="14"/>
        <v/>
      </c>
      <c r="H87" s="8"/>
      <c r="I87" s="8"/>
    </row>
    <row r="88" spans="1:9" ht="19.5" customHeight="1" x14ac:dyDescent="0.25">
      <c r="A88" s="11"/>
      <c r="B88" s="11"/>
      <c r="C88" s="12" t="str">
        <f t="shared" si="10"/>
        <v/>
      </c>
      <c r="D88" s="12" t="str">
        <f t="shared" si="11"/>
        <v/>
      </c>
      <c r="E88" s="12" t="str">
        <f t="shared" si="12"/>
        <v/>
      </c>
      <c r="F88" s="12" t="str">
        <f t="shared" si="13"/>
        <v/>
      </c>
      <c r="G88" s="12" t="str">
        <f t="shared" si="14"/>
        <v/>
      </c>
      <c r="H88" s="8"/>
      <c r="I88" s="8"/>
    </row>
    <row r="89" spans="1:9" ht="19.5" customHeight="1" x14ac:dyDescent="0.25">
      <c r="A89" s="11"/>
      <c r="B89" s="11"/>
      <c r="C89" s="12" t="str">
        <f t="shared" si="10"/>
        <v/>
      </c>
      <c r="D89" s="12" t="str">
        <f t="shared" si="11"/>
        <v/>
      </c>
      <c r="E89" s="12" t="str">
        <f t="shared" si="12"/>
        <v/>
      </c>
      <c r="F89" s="12" t="str">
        <f t="shared" si="13"/>
        <v/>
      </c>
      <c r="G89" s="12" t="str">
        <f t="shared" si="14"/>
        <v/>
      </c>
      <c r="H89" s="8"/>
      <c r="I89" s="8"/>
    </row>
    <row r="90" spans="1:9" ht="19.5" customHeight="1" x14ac:dyDescent="0.25">
      <c r="A90" s="11"/>
      <c r="B90" s="11"/>
      <c r="C90" s="12" t="str">
        <f t="shared" si="10"/>
        <v/>
      </c>
      <c r="D90" s="12" t="str">
        <f t="shared" si="11"/>
        <v/>
      </c>
      <c r="E90" s="12" t="str">
        <f t="shared" si="12"/>
        <v/>
      </c>
      <c r="F90" s="12" t="str">
        <f t="shared" si="13"/>
        <v/>
      </c>
      <c r="G90" s="12" t="str">
        <f t="shared" si="14"/>
        <v/>
      </c>
      <c r="H90" s="8"/>
      <c r="I90" s="8"/>
    </row>
    <row r="91" spans="1:9" ht="19.5" customHeight="1" x14ac:dyDescent="0.25">
      <c r="A91" s="11"/>
      <c r="B91" s="11"/>
      <c r="C91" s="12" t="str">
        <f t="shared" si="10"/>
        <v/>
      </c>
      <c r="D91" s="12" t="str">
        <f t="shared" si="11"/>
        <v/>
      </c>
      <c r="E91" s="12" t="str">
        <f t="shared" si="12"/>
        <v/>
      </c>
      <c r="F91" s="12" t="str">
        <f t="shared" si="13"/>
        <v/>
      </c>
      <c r="G91" s="12" t="str">
        <f t="shared" si="14"/>
        <v/>
      </c>
      <c r="H91" s="8"/>
      <c r="I91" s="8"/>
    </row>
    <row r="92" spans="1:9" ht="19.5" customHeight="1" x14ac:dyDescent="0.25">
      <c r="A92" s="11"/>
      <c r="B92" s="11"/>
      <c r="C92" s="12" t="str">
        <f t="shared" si="10"/>
        <v/>
      </c>
      <c r="D92" s="12" t="str">
        <f t="shared" si="11"/>
        <v/>
      </c>
      <c r="E92" s="12" t="str">
        <f t="shared" si="12"/>
        <v/>
      </c>
      <c r="F92" s="12" t="str">
        <f t="shared" si="13"/>
        <v/>
      </c>
      <c r="G92" s="12" t="str">
        <f t="shared" si="14"/>
        <v/>
      </c>
      <c r="H92" s="8"/>
      <c r="I92" s="8"/>
    </row>
    <row r="93" spans="1:9" ht="19.5" customHeight="1" x14ac:dyDescent="0.25">
      <c r="A93" s="11"/>
      <c r="B93" s="11"/>
      <c r="C93" s="12" t="str">
        <f t="shared" si="10"/>
        <v/>
      </c>
      <c r="D93" s="12" t="str">
        <f t="shared" si="11"/>
        <v/>
      </c>
      <c r="E93" s="12" t="str">
        <f t="shared" si="12"/>
        <v/>
      </c>
      <c r="F93" s="12" t="str">
        <f t="shared" si="13"/>
        <v/>
      </c>
      <c r="G93" s="12" t="str">
        <f t="shared" si="14"/>
        <v/>
      </c>
      <c r="H93" s="8"/>
      <c r="I93" s="8"/>
    </row>
    <row r="94" spans="1:9" ht="19.5" customHeight="1" x14ac:dyDescent="0.25">
      <c r="A94" s="11"/>
      <c r="B94" s="11"/>
      <c r="C94" s="12" t="str">
        <f t="shared" si="10"/>
        <v/>
      </c>
      <c r="D94" s="12" t="str">
        <f t="shared" si="11"/>
        <v/>
      </c>
      <c r="E94" s="12" t="str">
        <f t="shared" si="12"/>
        <v/>
      </c>
      <c r="F94" s="12" t="str">
        <f t="shared" si="13"/>
        <v/>
      </c>
      <c r="G94" s="12" t="str">
        <f t="shared" si="14"/>
        <v/>
      </c>
      <c r="H94" s="8"/>
      <c r="I94" s="8"/>
    </row>
    <row r="95" spans="1:9" ht="19.5" customHeight="1" x14ac:dyDescent="0.25">
      <c r="A95" s="11"/>
      <c r="B95" s="11"/>
      <c r="C95" s="12" t="str">
        <f t="shared" si="10"/>
        <v/>
      </c>
      <c r="D95" s="12" t="str">
        <f t="shared" si="11"/>
        <v/>
      </c>
      <c r="E95" s="12" t="str">
        <f t="shared" si="12"/>
        <v/>
      </c>
      <c r="F95" s="12" t="str">
        <f t="shared" si="13"/>
        <v/>
      </c>
      <c r="G95" s="12" t="str">
        <f t="shared" si="14"/>
        <v/>
      </c>
      <c r="H95" s="8"/>
      <c r="I95" s="8"/>
    </row>
    <row r="96" spans="1:9" ht="19.5" customHeight="1" x14ac:dyDescent="0.25">
      <c r="A96" s="11"/>
      <c r="B96" s="11"/>
      <c r="C96" s="12" t="str">
        <f t="shared" si="10"/>
        <v/>
      </c>
      <c r="D96" s="12" t="str">
        <f t="shared" si="11"/>
        <v/>
      </c>
      <c r="E96" s="12" t="str">
        <f t="shared" si="12"/>
        <v/>
      </c>
      <c r="F96" s="12" t="str">
        <f t="shared" si="13"/>
        <v/>
      </c>
      <c r="G96" s="12" t="str">
        <f t="shared" si="14"/>
        <v/>
      </c>
      <c r="H96" s="8"/>
      <c r="I96" s="8"/>
    </row>
    <row r="97" spans="1:9" ht="19.5" customHeight="1" x14ac:dyDescent="0.25">
      <c r="A97" s="11"/>
      <c r="B97" s="11"/>
      <c r="C97" s="12" t="str">
        <f t="shared" si="10"/>
        <v/>
      </c>
      <c r="D97" s="12" t="str">
        <f t="shared" si="11"/>
        <v/>
      </c>
      <c r="E97" s="12" t="str">
        <f t="shared" si="12"/>
        <v/>
      </c>
      <c r="F97" s="12" t="str">
        <f t="shared" si="13"/>
        <v/>
      </c>
      <c r="G97" s="12" t="str">
        <f t="shared" si="14"/>
        <v/>
      </c>
      <c r="H97" s="8"/>
      <c r="I97" s="8"/>
    </row>
    <row r="98" spans="1:9" ht="19.5" customHeight="1" x14ac:dyDescent="0.25">
      <c r="A98" s="11"/>
      <c r="B98" s="11"/>
      <c r="C98" s="12" t="str">
        <f t="shared" si="10"/>
        <v/>
      </c>
      <c r="D98" s="12" t="str">
        <f t="shared" si="11"/>
        <v/>
      </c>
      <c r="E98" s="12" t="str">
        <f t="shared" si="12"/>
        <v/>
      </c>
      <c r="F98" s="12" t="str">
        <f t="shared" si="13"/>
        <v/>
      </c>
      <c r="G98" s="12" t="str">
        <f t="shared" si="14"/>
        <v/>
      </c>
      <c r="H98" s="8"/>
      <c r="I98" s="8"/>
    </row>
    <row r="99" spans="1:9" ht="19.5" customHeight="1" x14ac:dyDescent="0.25">
      <c r="A99" s="11"/>
      <c r="B99" s="11"/>
      <c r="C99" s="12" t="str">
        <f t="shared" si="10"/>
        <v/>
      </c>
      <c r="D99" s="12" t="str">
        <f t="shared" si="11"/>
        <v/>
      </c>
      <c r="E99" s="12" t="str">
        <f t="shared" si="12"/>
        <v/>
      </c>
      <c r="F99" s="12" t="str">
        <f t="shared" si="13"/>
        <v/>
      </c>
      <c r="G99" s="12" t="str">
        <f t="shared" si="14"/>
        <v/>
      </c>
      <c r="H99" s="8"/>
      <c r="I99" s="8"/>
    </row>
    <row r="100" spans="1:9" ht="19.5" customHeight="1" x14ac:dyDescent="0.25">
      <c r="A100" s="11"/>
      <c r="B100" s="11"/>
      <c r="C100" s="12" t="str">
        <f t="shared" si="10"/>
        <v/>
      </c>
      <c r="D100" s="12" t="str">
        <f t="shared" si="11"/>
        <v/>
      </c>
      <c r="E100" s="12" t="str">
        <f t="shared" si="12"/>
        <v/>
      </c>
      <c r="F100" s="12" t="str">
        <f t="shared" si="13"/>
        <v/>
      </c>
      <c r="G100" s="12" t="str">
        <f t="shared" si="14"/>
        <v/>
      </c>
      <c r="H100" s="8"/>
      <c r="I100" s="8"/>
    </row>
    <row r="101" spans="1:9" ht="19.5" customHeight="1" x14ac:dyDescent="0.25">
      <c r="A101" s="11"/>
      <c r="B101" s="11"/>
      <c r="C101" s="12" t="str">
        <f t="shared" ref="C101:C132" si="15">IF(B101&gt;0,LN(B101),"")</f>
        <v/>
      </c>
      <c r="D101" s="12" t="str">
        <f t="shared" ref="D101:D132" si="16">IF(OR(A101="",C101=""),"",A101*C101)</f>
        <v/>
      </c>
      <c r="E101" s="12" t="str">
        <f t="shared" si="12"/>
        <v/>
      </c>
      <c r="F101" s="12" t="str">
        <f t="shared" si="13"/>
        <v/>
      </c>
      <c r="G101" s="12" t="str">
        <f t="shared" ref="G101:G132" si="17">IF(OR(B101="",F101=""),"",B101-F101)</f>
        <v/>
      </c>
      <c r="H101" s="8"/>
      <c r="I101" s="8"/>
    </row>
    <row r="102" spans="1:9" ht="19.5" customHeight="1" x14ac:dyDescent="0.25">
      <c r="A102" s="11"/>
      <c r="B102" s="11"/>
      <c r="C102" s="12" t="str">
        <f t="shared" si="15"/>
        <v/>
      </c>
      <c r="D102" s="12" t="str">
        <f t="shared" si="16"/>
        <v/>
      </c>
      <c r="E102" s="12" t="str">
        <f t="shared" si="12"/>
        <v/>
      </c>
      <c r="F102" s="12" t="str">
        <f t="shared" si="13"/>
        <v/>
      </c>
      <c r="G102" s="12" t="str">
        <f t="shared" si="17"/>
        <v/>
      </c>
      <c r="H102" s="8"/>
      <c r="I102" s="8"/>
    </row>
    <row r="103" spans="1:9" ht="19.5" customHeight="1" x14ac:dyDescent="0.25">
      <c r="A103" s="11"/>
      <c r="B103" s="11"/>
      <c r="C103" s="12" t="str">
        <f t="shared" si="15"/>
        <v/>
      </c>
      <c r="D103" s="12" t="str">
        <f t="shared" si="16"/>
        <v/>
      </c>
      <c r="E103" s="12" t="str">
        <f t="shared" si="12"/>
        <v/>
      </c>
      <c r="F103" s="12" t="str">
        <f t="shared" si="13"/>
        <v/>
      </c>
      <c r="G103" s="12" t="str">
        <f t="shared" si="17"/>
        <v/>
      </c>
      <c r="H103" s="8"/>
      <c r="I103" s="8"/>
    </row>
    <row r="104" spans="1:9" ht="19.5" customHeight="1" x14ac:dyDescent="0.25">
      <c r="A104" s="11"/>
      <c r="B104" s="11"/>
      <c r="C104" s="12" t="str">
        <f t="shared" si="15"/>
        <v/>
      </c>
      <c r="D104" s="12" t="str">
        <f t="shared" si="16"/>
        <v/>
      </c>
      <c r="E104" s="12" t="str">
        <f t="shared" si="12"/>
        <v/>
      </c>
      <c r="F104" s="12" t="str">
        <f t="shared" si="13"/>
        <v/>
      </c>
      <c r="G104" s="12" t="str">
        <f t="shared" si="17"/>
        <v/>
      </c>
      <c r="H104" s="8"/>
      <c r="I104" s="8"/>
    </row>
    <row r="105" spans="1:9" ht="19.5" customHeight="1" x14ac:dyDescent="0.25"/>
    <row r="106" spans="1:9" ht="19.5" customHeight="1" x14ac:dyDescent="0.25"/>
    <row r="107" spans="1:9" ht="19.5" customHeight="1" x14ac:dyDescent="0.25"/>
    <row r="108" spans="1:9" ht="19.5" customHeight="1" x14ac:dyDescent="0.25"/>
    <row r="109" spans="1:9" ht="19.5" customHeight="1" x14ac:dyDescent="0.25"/>
  </sheetData>
  <mergeCells count="3">
    <mergeCell ref="A1:O1"/>
    <mergeCell ref="A2:O2"/>
    <mergeCell ref="H19:I22"/>
  </mergeCells>
  <dataValidations count="1">
    <dataValidation type="decimal" allowBlank="1" error="Solo se permiten valores numéricos." prompt="Ingresa un número." sqref="A5:B104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439E-A2C8-4957-BE76-579C379E3D2F}">
  <dimension ref="A1:K12"/>
  <sheetViews>
    <sheetView workbookViewId="0">
      <selection activeCell="M3" sqref="M3"/>
    </sheetView>
  </sheetViews>
  <sheetFormatPr defaultRowHeight="15" x14ac:dyDescent="0.25"/>
  <sheetData>
    <row r="1" spans="1:11" ht="28.5" x14ac:dyDescent="0.25">
      <c r="A1" s="9" t="s">
        <v>66</v>
      </c>
      <c r="B1" s="9" t="s">
        <v>74</v>
      </c>
      <c r="C1" s="9" t="s">
        <v>50</v>
      </c>
      <c r="D1" s="9" t="s">
        <v>60</v>
      </c>
      <c r="E1" s="9" t="s">
        <v>67</v>
      </c>
      <c r="F1" s="9" t="s">
        <v>68</v>
      </c>
      <c r="I1" s="13">
        <f xml:space="preserve"> SUM(C2:C36)</f>
        <v>4.0073331852324712</v>
      </c>
      <c r="K1" s="7" t="s">
        <v>69</v>
      </c>
    </row>
    <row r="2" spans="1:11" x14ac:dyDescent="0.25">
      <c r="A2">
        <v>55</v>
      </c>
      <c r="B2">
        <v>4555</v>
      </c>
      <c r="C2">
        <f xml:space="preserve"> LN(A2)</f>
        <v>4.0073331852324712</v>
      </c>
      <c r="D2">
        <f xml:space="preserve"> LN(B2)</f>
        <v>8.4239808096940578</v>
      </c>
      <c r="E2">
        <f xml:space="preserve"> C2*D2</f>
        <v>33.757697850448501</v>
      </c>
      <c r="F2">
        <f xml:space="preserve"> C2^2</f>
        <v>16.058719257465423</v>
      </c>
      <c r="I2" s="13">
        <f xml:space="preserve"> SUM(D2:D36)</f>
        <v>8.4239808096940578</v>
      </c>
      <c r="K2" s="7" t="s">
        <v>70</v>
      </c>
    </row>
    <row r="3" spans="1:11" x14ac:dyDescent="0.25">
      <c r="A3">
        <v>43</v>
      </c>
      <c r="B3">
        <v>555</v>
      </c>
      <c r="I3" s="13">
        <f xml:space="preserve"> SUM(E2:E36)</f>
        <v>33.757697850448501</v>
      </c>
      <c r="K3" s="7" t="s">
        <v>71</v>
      </c>
    </row>
    <row r="4" spans="1:11" x14ac:dyDescent="0.25">
      <c r="A4">
        <v>35</v>
      </c>
      <c r="B4">
        <v>555</v>
      </c>
      <c r="I4" s="13">
        <f xml:space="preserve"> SUM(F2:F36)</f>
        <v>16.058719257465423</v>
      </c>
      <c r="K4" s="7" t="s">
        <v>72</v>
      </c>
    </row>
    <row r="5" spans="1:11" x14ac:dyDescent="0.25">
      <c r="I5" s="13">
        <f xml:space="preserve"> COUNT(A2:A36)</f>
        <v>3</v>
      </c>
      <c r="K5" s="7" t="s">
        <v>72</v>
      </c>
    </row>
    <row r="6" spans="1:11" x14ac:dyDescent="0.25">
      <c r="I6" s="13">
        <f>COUNT(A2:A36)</f>
        <v>3</v>
      </c>
      <c r="K6" s="7" t="s">
        <v>23</v>
      </c>
    </row>
    <row r="7" spans="1:11" x14ac:dyDescent="0.25">
      <c r="K7" s="7"/>
    </row>
    <row r="8" spans="1:11" x14ac:dyDescent="0.25">
      <c r="K8" s="7"/>
    </row>
    <row r="9" spans="1:11" x14ac:dyDescent="0.25">
      <c r="I9" s="13">
        <f>(I6*I4 - I2*I3)/(I6*I5 - I2^2)</f>
        <v>3.8118928315866571</v>
      </c>
      <c r="K9" s="7" t="s">
        <v>73</v>
      </c>
    </row>
    <row r="10" spans="1:11" x14ac:dyDescent="0.25">
      <c r="I10" s="13">
        <f>(I3 - I9*I2)/I6</f>
        <v>0.54879526285071967</v>
      </c>
      <c r="K10" s="7" t="s">
        <v>75</v>
      </c>
    </row>
    <row r="11" spans="1:11" x14ac:dyDescent="0.25">
      <c r="K11" s="7"/>
    </row>
    <row r="12" spans="1:11" x14ac:dyDescent="0.25">
      <c r="I12" s="13">
        <f>EXP(I10)</f>
        <v>1.7311661608771427</v>
      </c>
      <c r="K12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Guia</vt:lpstr>
      <vt:lpstr>Lineal</vt:lpstr>
      <vt:lpstr>Cuadratico</vt:lpstr>
      <vt:lpstr>Logaritmico</vt:lpstr>
      <vt:lpstr>Exponencial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zz</dc:creator>
  <cp:lastModifiedBy>Matias Leandro Medrano Villa</cp:lastModifiedBy>
  <dcterms:created xsi:type="dcterms:W3CDTF">2026-04-09T15:06:00Z</dcterms:created>
  <dcterms:modified xsi:type="dcterms:W3CDTF">2026-04-09T15:06:00Z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2026-04-09T14:32:37Z</dcterms:created>
  <dc:creator>openpyxl</dc:creator>
  <dc:description/>
  <dc:language>en-US</dc:language>
  <cp:lastModifiedBy/>
  <dcterms:modified xsi:type="dcterms:W3CDTF">2026-04-09T14:36:00Z</dcterms:modified>
  <cp:revision>0</cp:revision>
  <dc:subject/>
  <dc:title/>
</cp:coreProperties>
</file>