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d1cc\OneDrive\Desktop\"/>
    </mc:Choice>
  </mc:AlternateContent>
  <xr:revisionPtr revIDLastSave="0" documentId="8_{53F8DE9D-419A-42F9-896D-454791812C4F}" xr6:coauthVersionLast="47" xr6:coauthVersionMax="47" xr10:uidLastSave="{00000000-0000-0000-0000-000000000000}"/>
  <bookViews>
    <workbookView xWindow="-120" yWindow="-120" windowWidth="29040" windowHeight="15720" activeTab="1" xr2:uid="{6C954E5D-5424-4050-8361-9665CF70F904}"/>
  </bookViews>
  <sheets>
    <sheet name="MODELO LINEAL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9" i="2" l="1" a="1"/>
  <c r="I9" i="2"/>
  <c r="J2" i="2"/>
  <c r="J1" i="2"/>
  <c r="F2" i="2"/>
  <c r="J6" i="2" s="1"/>
  <c r="E2" i="2"/>
  <c r="J5" i="2" s="1"/>
  <c r="D2" i="2"/>
  <c r="J4" i="2" s="1"/>
  <c r="C2" i="2"/>
  <c r="G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G3" i="1"/>
  <c r="G2" i="1"/>
  <c r="D2" i="1"/>
  <c r="G5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  <c r="G4" i="1" s="1"/>
  <c r="I2" i="1" l="1"/>
  <c r="J2" i="1" s="1"/>
  <c r="G2" i="2"/>
  <c r="J7" i="2" s="1"/>
  <c r="J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<sst xmlns="http://schemas.openxmlformats.org/spreadsheetml/2006/main" count="31" uniqueCount="26">
  <si>
    <t>X</t>
  </si>
  <si>
    <t>Y</t>
  </si>
  <si>
    <t>X²</t>
  </si>
  <si>
    <t>xy</t>
  </si>
  <si>
    <t>MODELO LINEAL + GRAFICA</t>
  </si>
  <si>
    <t>RESULTADOS = "F"</t>
  </si>
  <si>
    <t>M</t>
  </si>
  <si>
    <t>B</t>
  </si>
  <si>
    <t>R²</t>
  </si>
  <si>
    <t>A2*B2</t>
  </si>
  <si>
    <t>SUMA X</t>
  </si>
  <si>
    <t>SUMA Y</t>
  </si>
  <si>
    <t>SUMA XY</t>
  </si>
  <si>
    <t>SUMA x^2</t>
  </si>
  <si>
    <t>n</t>
  </si>
  <si>
    <t>pendiente m</t>
  </si>
  <si>
    <t>interseccion b</t>
  </si>
  <si>
    <t>x^2</t>
  </si>
  <si>
    <t>x^3</t>
  </si>
  <si>
    <t>x^4</t>
  </si>
  <si>
    <t>x*y</t>
  </si>
  <si>
    <t>x^2*y</t>
  </si>
  <si>
    <t>SUMA x^4</t>
  </si>
  <si>
    <t>SUMA x*y</t>
  </si>
  <si>
    <t>SUMAx^2*y</t>
  </si>
  <si>
    <t>SUMA x^3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</si>
</sst>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63A4F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747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2" borderId="2" xfId="0" applyFill="1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3" fillId="3" borderId="0" xfId="0" applyFont="1" applyFill="1"/>
    <xf numFmtId="0" fontId="3" fillId="0" borderId="0" xfId="0" applyFont="1"/>
    <xf numFmtId="0" fontId="2" fillId="3" borderId="0" xfId="0" applyFont="1" applyFill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92A4F14-3B80-467D-B97D-5A1FC909AAC8}">
  <we:reference id="wa104380848" version="2.1.0.1" store="en-US" storeType="OMEX"/>
  <we:alternateReferences>
    <we:reference id="WA104380848" version="2.1.0.1" store="WA104380848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E4449-D46A-4F88-8AC9-6C4B89E53B79}">
  <dimension ref="A1:W31"/>
  <sheetViews>
    <sheetView workbookViewId="0">
      <selection activeCell="J3" sqref="J3"/>
    </sheetView>
  </sheetViews>
  <sheetFormatPr defaultRowHeight="15" x14ac:dyDescent="0.25"/>
  <sheetData>
    <row r="1" spans="1:23" x14ac:dyDescent="0.25">
      <c r="A1" s="1" t="s">
        <v>0</v>
      </c>
      <c r="B1" s="1" t="s">
        <v>1</v>
      </c>
      <c r="C1" s="1" t="s">
        <v>3</v>
      </c>
      <c r="D1" s="1" t="s">
        <v>2</v>
      </c>
      <c r="I1" s="8" t="s">
        <v>15</v>
      </c>
      <c r="J1" s="2" t="s">
        <v>16</v>
      </c>
      <c r="K1" s="2"/>
      <c r="M1" s="3" t="s">
        <v>6</v>
      </c>
      <c r="N1" s="3" t="s">
        <v>7</v>
      </c>
      <c r="O1" s="3" t="s">
        <v>8</v>
      </c>
    </row>
    <row r="2" spans="1:23" x14ac:dyDescent="0.25">
      <c r="A2">
        <v>1</v>
      </c>
      <c r="B2">
        <v>2</v>
      </c>
      <c r="C2">
        <f>A2*B2</f>
        <v>2</v>
      </c>
      <c r="D2">
        <f>A2^2</f>
        <v>1</v>
      </c>
      <c r="F2" s="1" t="s">
        <v>10</v>
      </c>
      <c r="G2" s="4">
        <f>SUM(A2:A31)</f>
        <v>6</v>
      </c>
      <c r="I2">
        <f>(G6*G4-G2*G3)/(G6*G5-G2^2)</f>
        <v>-1</v>
      </c>
      <c r="J2">
        <f>(G3-I2*G2)/G6</f>
        <v>2.6666666666666665</v>
      </c>
      <c r="N2" t="s">
        <v>9</v>
      </c>
      <c r="S2" s="6" t="s">
        <v>4</v>
      </c>
      <c r="T2" s="2"/>
      <c r="U2" s="2"/>
      <c r="V2" s="2"/>
      <c r="W2" s="2"/>
    </row>
    <row r="3" spans="1:23" x14ac:dyDescent="0.25">
      <c r="A3">
        <v>2</v>
      </c>
      <c r="C3">
        <f t="shared" ref="C3:C31" si="0">A3*B3</f>
        <v>0</v>
      </c>
      <c r="D3">
        <f t="shared" ref="D3:D31" si="1">A3^2</f>
        <v>4</v>
      </c>
      <c r="F3" s="1" t="s">
        <v>11</v>
      </c>
      <c r="G3" s="4">
        <f>SUM(B2:B31)</f>
        <v>2</v>
      </c>
      <c r="S3" s="7" t="s">
        <v>5</v>
      </c>
    </row>
    <row r="4" spans="1:23" x14ac:dyDescent="0.25">
      <c r="A4">
        <v>3</v>
      </c>
      <c r="C4">
        <f t="shared" si="0"/>
        <v>0</v>
      </c>
      <c r="D4">
        <f t="shared" si="1"/>
        <v>9</v>
      </c>
      <c r="F4" s="1" t="s">
        <v>12</v>
      </c>
      <c r="G4" s="4">
        <f>SUM(C2:C31)</f>
        <v>2</v>
      </c>
    </row>
    <row r="5" spans="1:23" x14ac:dyDescent="0.25">
      <c r="C5">
        <f t="shared" si="0"/>
        <v>0</v>
      </c>
      <c r="D5">
        <f t="shared" si="1"/>
        <v>0</v>
      </c>
      <c r="F5" s="1" t="s">
        <v>13</v>
      </c>
      <c r="G5" s="4">
        <f>SUM(D2:D31)</f>
        <v>14</v>
      </c>
    </row>
    <row r="6" spans="1:23" x14ac:dyDescent="0.25">
      <c r="C6">
        <f t="shared" si="0"/>
        <v>0</v>
      </c>
      <c r="D6">
        <f t="shared" si="1"/>
        <v>0</v>
      </c>
      <c r="F6" s="5" t="s">
        <v>14</v>
      </c>
      <c r="G6" s="4">
        <f>COUNT(A2:A31)</f>
        <v>3</v>
      </c>
    </row>
    <row r="7" spans="1:23" x14ac:dyDescent="0.25">
      <c r="C7">
        <f t="shared" si="0"/>
        <v>0</v>
      </c>
      <c r="D7">
        <f t="shared" si="1"/>
        <v>0</v>
      </c>
    </row>
    <row r="8" spans="1:23" x14ac:dyDescent="0.25">
      <c r="C8">
        <f t="shared" si="0"/>
        <v>0</v>
      </c>
      <c r="D8">
        <f t="shared" si="1"/>
        <v>0</v>
      </c>
    </row>
    <row r="9" spans="1:23" x14ac:dyDescent="0.25">
      <c r="C9">
        <f t="shared" si="0"/>
        <v>0</v>
      </c>
      <c r="D9">
        <f t="shared" si="1"/>
        <v>0</v>
      </c>
    </row>
    <row r="10" spans="1:23" x14ac:dyDescent="0.25">
      <c r="C10">
        <f t="shared" si="0"/>
        <v>0</v>
      </c>
      <c r="D10">
        <f t="shared" si="1"/>
        <v>0</v>
      </c>
    </row>
    <row r="11" spans="1:23" x14ac:dyDescent="0.25">
      <c r="C11">
        <f t="shared" si="0"/>
        <v>0</v>
      </c>
      <c r="D11">
        <f t="shared" si="1"/>
        <v>0</v>
      </c>
    </row>
    <row r="12" spans="1:23" x14ac:dyDescent="0.25">
      <c r="C12">
        <f t="shared" si="0"/>
        <v>0</v>
      </c>
      <c r="D12">
        <f t="shared" si="1"/>
        <v>0</v>
      </c>
    </row>
    <row r="13" spans="1:23" x14ac:dyDescent="0.25">
      <c r="C13">
        <f t="shared" si="0"/>
        <v>0</v>
      </c>
      <c r="D13">
        <f t="shared" si="1"/>
        <v>0</v>
      </c>
    </row>
    <row r="14" spans="1:23" x14ac:dyDescent="0.25">
      <c r="C14">
        <f t="shared" si="0"/>
        <v>0</v>
      </c>
      <c r="D14">
        <f t="shared" si="1"/>
        <v>0</v>
      </c>
    </row>
    <row r="15" spans="1:23" x14ac:dyDescent="0.25">
      <c r="C15">
        <f t="shared" si="0"/>
        <v>0</v>
      </c>
      <c r="D15">
        <f t="shared" si="1"/>
        <v>0</v>
      </c>
    </row>
    <row r="16" spans="1:23" x14ac:dyDescent="0.25">
      <c r="C16">
        <f t="shared" si="0"/>
        <v>0</v>
      </c>
      <c r="D16">
        <f t="shared" si="1"/>
        <v>0</v>
      </c>
    </row>
    <row r="17" spans="3:4" x14ac:dyDescent="0.25">
      <c r="C17">
        <f t="shared" si="0"/>
        <v>0</v>
      </c>
      <c r="D17">
        <f t="shared" si="1"/>
        <v>0</v>
      </c>
    </row>
    <row r="18" spans="3:4" x14ac:dyDescent="0.25">
      <c r="C18">
        <f t="shared" si="0"/>
        <v>0</v>
      </c>
      <c r="D18">
        <f t="shared" si="1"/>
        <v>0</v>
      </c>
    </row>
    <row r="19" spans="3:4" x14ac:dyDescent="0.25">
      <c r="C19">
        <f t="shared" si="0"/>
        <v>0</v>
      </c>
      <c r="D19">
        <f t="shared" si="1"/>
        <v>0</v>
      </c>
    </row>
    <row r="20" spans="3:4" x14ac:dyDescent="0.25">
      <c r="C20">
        <f t="shared" si="0"/>
        <v>0</v>
      </c>
      <c r="D20">
        <f t="shared" si="1"/>
        <v>0</v>
      </c>
    </row>
    <row r="21" spans="3:4" x14ac:dyDescent="0.25">
      <c r="C21">
        <f t="shared" si="0"/>
        <v>0</v>
      </c>
      <c r="D21">
        <f t="shared" si="1"/>
        <v>0</v>
      </c>
    </row>
    <row r="22" spans="3:4" x14ac:dyDescent="0.25">
      <c r="C22">
        <f t="shared" si="0"/>
        <v>0</v>
      </c>
      <c r="D22">
        <f t="shared" si="1"/>
        <v>0</v>
      </c>
    </row>
    <row r="23" spans="3:4" x14ac:dyDescent="0.25">
      <c r="C23">
        <f t="shared" si="0"/>
        <v>0</v>
      </c>
      <c r="D23">
        <f t="shared" si="1"/>
        <v>0</v>
      </c>
    </row>
    <row r="24" spans="3:4" x14ac:dyDescent="0.25">
      <c r="C24">
        <f t="shared" si="0"/>
        <v>0</v>
      </c>
      <c r="D24">
        <f t="shared" si="1"/>
        <v>0</v>
      </c>
    </row>
    <row r="25" spans="3:4" x14ac:dyDescent="0.25">
      <c r="C25">
        <f t="shared" si="0"/>
        <v>0</v>
      </c>
      <c r="D25">
        <f t="shared" si="1"/>
        <v>0</v>
      </c>
    </row>
    <row r="26" spans="3:4" x14ac:dyDescent="0.25">
      <c r="C26">
        <f t="shared" si="0"/>
        <v>0</v>
      </c>
      <c r="D26">
        <f t="shared" si="1"/>
        <v>0</v>
      </c>
    </row>
    <row r="27" spans="3:4" x14ac:dyDescent="0.25">
      <c r="C27">
        <f t="shared" si="0"/>
        <v>0</v>
      </c>
      <c r="D27">
        <f t="shared" si="1"/>
        <v>0</v>
      </c>
    </row>
    <row r="28" spans="3:4" x14ac:dyDescent="0.25">
      <c r="C28">
        <f t="shared" si="0"/>
        <v>0</v>
      </c>
      <c r="D28">
        <f t="shared" si="1"/>
        <v>0</v>
      </c>
    </row>
    <row r="29" spans="3:4" x14ac:dyDescent="0.25">
      <c r="C29">
        <f t="shared" si="0"/>
        <v>0</v>
      </c>
      <c r="D29">
        <f t="shared" si="1"/>
        <v>0</v>
      </c>
    </row>
    <row r="30" spans="3:4" x14ac:dyDescent="0.25">
      <c r="C30">
        <f t="shared" si="0"/>
        <v>0</v>
      </c>
      <c r="D30">
        <f t="shared" si="1"/>
        <v>0</v>
      </c>
    </row>
    <row r="31" spans="3:4" x14ac:dyDescent="0.25">
      <c r="C31">
        <f t="shared" si="0"/>
        <v>0</v>
      </c>
      <c r="D31">
        <f t="shared" si="1"/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744D-8733-4B5E-9161-67851FF05E81}">
  <dimension ref="A1:J9"/>
  <sheetViews>
    <sheetView tabSelected="1" workbookViewId="0">
      <selection activeCell="I9" sqref="I9"/>
    </sheetView>
  </sheetViews>
  <sheetFormatPr defaultRowHeight="15" x14ac:dyDescent="0.25"/>
  <sheetData>
    <row r="1" spans="1:10" x14ac:dyDescent="0.25">
      <c r="A1" s="9" t="s">
        <v>0</v>
      </c>
      <c r="B1" s="9" t="s">
        <v>1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  <c r="I1" s="9" t="s">
        <v>10</v>
      </c>
      <c r="J1">
        <f>SUM(A2:A99)</f>
        <v>0</v>
      </c>
    </row>
    <row r="2" spans="1:10" x14ac:dyDescent="0.25">
      <c r="C2">
        <f>A2^2</f>
        <v>0</v>
      </c>
      <c r="D2">
        <f>A2^3</f>
        <v>0</v>
      </c>
      <c r="E2">
        <f>A2^4</f>
        <v>0</v>
      </c>
      <c r="F2">
        <f>A2*B2</f>
        <v>0</v>
      </c>
      <c r="G2">
        <f>C2*B2</f>
        <v>0</v>
      </c>
      <c r="I2" s="9" t="s">
        <v>11</v>
      </c>
      <c r="J2">
        <f>SUM(B2:B99)</f>
        <v>0</v>
      </c>
    </row>
    <row r="3" spans="1:10" x14ac:dyDescent="0.25">
      <c r="I3" s="9" t="s">
        <v>13</v>
      </c>
      <c r="J3">
        <f>SUM(C2:C99)</f>
        <v>0</v>
      </c>
    </row>
    <row r="4" spans="1:10" x14ac:dyDescent="0.25">
      <c r="I4" s="9" t="s">
        <v>25</v>
      </c>
      <c r="J4">
        <f>SUM(D2:D99)</f>
        <v>0</v>
      </c>
    </row>
    <row r="5" spans="1:10" x14ac:dyDescent="0.25">
      <c r="I5" s="9" t="s">
        <v>22</v>
      </c>
      <c r="J5">
        <f>SUM(E2:E99)</f>
        <v>0</v>
      </c>
    </row>
    <row r="6" spans="1:10" x14ac:dyDescent="0.25">
      <c r="I6" s="9" t="s">
        <v>23</v>
      </c>
      <c r="J6">
        <f>SUM(F2:F99)</f>
        <v>0</v>
      </c>
    </row>
    <row r="7" spans="1:10" x14ac:dyDescent="0.25">
      <c r="I7" s="9" t="s">
        <v>24</v>
      </c>
      <c r="J7">
        <f>SUM(G2:G99)</f>
        <v>0</v>
      </c>
    </row>
    <row r="9" spans="1:10" x14ac:dyDescent="0.25">
      <c r="I9" t="e" cm="1">
        <f t="array" ref="I9">Ss</f>
        <v>#NAME?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MODELO LINEAL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Leandro Medrano Villa</dc:creator>
  <cp:lastModifiedBy>Matias Leandro Medrano Villa</cp:lastModifiedBy>
  <dcterms:created xsi:type="dcterms:W3CDTF">2026-04-09T12:38:32Z</dcterms:created>
  <dcterms:modified xsi:type="dcterms:W3CDTF">2026-04-09T13:45:37Z</dcterms:modified>
</cp:coreProperties>
</file>