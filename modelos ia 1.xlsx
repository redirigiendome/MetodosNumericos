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4d1cc\OneDrive\Desktop\"/>
    </mc:Choice>
  </mc:AlternateContent>
  <xr:revisionPtr revIDLastSave="0" documentId="8_{C9FDD76E-AAF2-478C-BA2C-18702F769DA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ICIO" sheetId="1" r:id="rId1"/>
    <sheet name="LINEAL" sheetId="2" r:id="rId2"/>
    <sheet name="CUADRATICO" sheetId="3" r:id="rId3"/>
    <sheet name="LOGARITMICO" sheetId="4" r:id="rId4"/>
    <sheet name="EXPONENCIAL" sheetId="5" r:id="rId5"/>
    <sheet name="POTENCI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3" l="1"/>
  <c r="F13" i="3" a="1"/>
  <c r="F13" i="3"/>
  <c r="D13" i="3"/>
  <c r="A43" i="3"/>
  <c r="B42" i="6"/>
  <c r="G41" i="6"/>
  <c r="H41" i="6" s="1"/>
  <c r="I41" i="6" s="1"/>
  <c r="D41" i="6"/>
  <c r="C41" i="6"/>
  <c r="G40" i="6"/>
  <c r="H40" i="6" s="1"/>
  <c r="I40" i="6" s="1"/>
  <c r="D40" i="6"/>
  <c r="C40" i="6"/>
  <c r="G39" i="6"/>
  <c r="H39" i="6" s="1"/>
  <c r="I39" i="6" s="1"/>
  <c r="D39" i="6"/>
  <c r="C39" i="6"/>
  <c r="G38" i="6"/>
  <c r="H38" i="6" s="1"/>
  <c r="I38" i="6" s="1"/>
  <c r="D38" i="6"/>
  <c r="C38" i="6"/>
  <c r="G37" i="6"/>
  <c r="H37" i="6" s="1"/>
  <c r="I37" i="6" s="1"/>
  <c r="D37" i="6"/>
  <c r="C37" i="6"/>
  <c r="G36" i="6"/>
  <c r="H36" i="6" s="1"/>
  <c r="I36" i="6" s="1"/>
  <c r="D36" i="6"/>
  <c r="C36" i="6"/>
  <c r="G35" i="6"/>
  <c r="H35" i="6" s="1"/>
  <c r="I35" i="6" s="1"/>
  <c r="D35" i="6"/>
  <c r="C35" i="6"/>
  <c r="G34" i="6"/>
  <c r="H34" i="6" s="1"/>
  <c r="I34" i="6" s="1"/>
  <c r="D34" i="6"/>
  <c r="C34" i="6"/>
  <c r="G33" i="6"/>
  <c r="H33" i="6" s="1"/>
  <c r="I33" i="6" s="1"/>
  <c r="D33" i="6"/>
  <c r="C33" i="6"/>
  <c r="G32" i="6"/>
  <c r="H32" i="6" s="1"/>
  <c r="I32" i="6" s="1"/>
  <c r="D32" i="6"/>
  <c r="C32" i="6"/>
  <c r="G31" i="6"/>
  <c r="H31" i="6" s="1"/>
  <c r="I31" i="6" s="1"/>
  <c r="D31" i="6"/>
  <c r="C31" i="6"/>
  <c r="G30" i="6"/>
  <c r="H30" i="6" s="1"/>
  <c r="I30" i="6" s="1"/>
  <c r="D30" i="6"/>
  <c r="C30" i="6"/>
  <c r="G29" i="6"/>
  <c r="H29" i="6" s="1"/>
  <c r="I29" i="6" s="1"/>
  <c r="D29" i="6"/>
  <c r="C29" i="6"/>
  <c r="G28" i="6"/>
  <c r="H28" i="6" s="1"/>
  <c r="I28" i="6" s="1"/>
  <c r="D28" i="6"/>
  <c r="C28" i="6"/>
  <c r="G27" i="6"/>
  <c r="H27" i="6" s="1"/>
  <c r="I27" i="6" s="1"/>
  <c r="D27" i="6"/>
  <c r="C27" i="6"/>
  <c r="G26" i="6"/>
  <c r="H26" i="6" s="1"/>
  <c r="I26" i="6" s="1"/>
  <c r="D26" i="6"/>
  <c r="C26" i="6"/>
  <c r="G25" i="6"/>
  <c r="H25" i="6" s="1"/>
  <c r="I25" i="6" s="1"/>
  <c r="D25" i="6"/>
  <c r="C25" i="6"/>
  <c r="G24" i="6"/>
  <c r="H24" i="6" s="1"/>
  <c r="I24" i="6" s="1"/>
  <c r="D24" i="6"/>
  <c r="C24" i="6"/>
  <c r="G23" i="6"/>
  <c r="H23" i="6" s="1"/>
  <c r="I23" i="6" s="1"/>
  <c r="D23" i="6"/>
  <c r="C23" i="6"/>
  <c r="G22" i="6"/>
  <c r="H22" i="6" s="1"/>
  <c r="I22" i="6" s="1"/>
  <c r="D22" i="6"/>
  <c r="C22" i="6"/>
  <c r="G21" i="6"/>
  <c r="H21" i="6" s="1"/>
  <c r="I21" i="6" s="1"/>
  <c r="D21" i="6"/>
  <c r="C21" i="6"/>
  <c r="G20" i="6"/>
  <c r="H20" i="6" s="1"/>
  <c r="I20" i="6" s="1"/>
  <c r="D20" i="6"/>
  <c r="C20" i="6"/>
  <c r="L19" i="6"/>
  <c r="G19" i="6"/>
  <c r="H19" i="6" s="1"/>
  <c r="I19" i="6" s="1"/>
  <c r="D19" i="6"/>
  <c r="C19" i="6"/>
  <c r="L18" i="6"/>
  <c r="G18" i="6"/>
  <c r="H18" i="6" s="1"/>
  <c r="I18" i="6" s="1"/>
  <c r="D18" i="6"/>
  <c r="C18" i="6"/>
  <c r="L17" i="6"/>
  <c r="G17" i="6"/>
  <c r="H17" i="6" s="1"/>
  <c r="I17" i="6" s="1"/>
  <c r="D17" i="6"/>
  <c r="C17" i="6"/>
  <c r="G16" i="6"/>
  <c r="H16" i="6" s="1"/>
  <c r="I16" i="6" s="1"/>
  <c r="D16" i="6"/>
  <c r="C16" i="6"/>
  <c r="G15" i="6"/>
  <c r="H15" i="6" s="1"/>
  <c r="I15" i="6" s="1"/>
  <c r="D15" i="6"/>
  <c r="C15" i="6"/>
  <c r="G14" i="6"/>
  <c r="H14" i="6" s="1"/>
  <c r="I14" i="6" s="1"/>
  <c r="D14" i="6"/>
  <c r="C14" i="6"/>
  <c r="G13" i="6"/>
  <c r="H13" i="6" s="1"/>
  <c r="I13" i="6" s="1"/>
  <c r="D13" i="6"/>
  <c r="C13" i="6"/>
  <c r="G12" i="6"/>
  <c r="H12" i="6" s="1"/>
  <c r="I12" i="6" s="1"/>
  <c r="D12" i="6"/>
  <c r="C12" i="6"/>
  <c r="G11" i="6"/>
  <c r="H11" i="6" s="1"/>
  <c r="I11" i="6" s="1"/>
  <c r="D11" i="6"/>
  <c r="C11" i="6"/>
  <c r="G10" i="6"/>
  <c r="H10" i="6" s="1"/>
  <c r="I10" i="6" s="1"/>
  <c r="D10" i="6"/>
  <c r="C10" i="6"/>
  <c r="G9" i="6"/>
  <c r="H9" i="6" s="1"/>
  <c r="I9" i="6" s="1"/>
  <c r="D9" i="6"/>
  <c r="C9" i="6"/>
  <c r="G8" i="6"/>
  <c r="H8" i="6" s="1"/>
  <c r="I8" i="6" s="1"/>
  <c r="D8" i="6"/>
  <c r="C8" i="6"/>
  <c r="G7" i="6"/>
  <c r="H7" i="6" s="1"/>
  <c r="I7" i="6" s="1"/>
  <c r="I42" i="6" s="1"/>
  <c r="D7" i="6"/>
  <c r="D42" i="6" s="1"/>
  <c r="C7" i="6"/>
  <c r="L6" i="6"/>
  <c r="B42" i="5"/>
  <c r="F41" i="5"/>
  <c r="G41" i="5" s="1"/>
  <c r="H41" i="5" s="1"/>
  <c r="E41" i="5"/>
  <c r="C41" i="5"/>
  <c r="D41" i="5" s="1"/>
  <c r="F40" i="5"/>
  <c r="G40" i="5" s="1"/>
  <c r="H40" i="5" s="1"/>
  <c r="E40" i="5"/>
  <c r="C40" i="5"/>
  <c r="D40" i="5" s="1"/>
  <c r="F39" i="5"/>
  <c r="G39" i="5" s="1"/>
  <c r="H39" i="5" s="1"/>
  <c r="E39" i="5"/>
  <c r="C39" i="5"/>
  <c r="D39" i="5" s="1"/>
  <c r="F38" i="5"/>
  <c r="G38" i="5" s="1"/>
  <c r="H38" i="5" s="1"/>
  <c r="E38" i="5"/>
  <c r="C38" i="5"/>
  <c r="D38" i="5" s="1"/>
  <c r="F37" i="5"/>
  <c r="G37" i="5" s="1"/>
  <c r="H37" i="5" s="1"/>
  <c r="E37" i="5"/>
  <c r="C37" i="5"/>
  <c r="D37" i="5" s="1"/>
  <c r="F36" i="5"/>
  <c r="G36" i="5" s="1"/>
  <c r="H36" i="5" s="1"/>
  <c r="E36" i="5"/>
  <c r="C36" i="5"/>
  <c r="D36" i="5" s="1"/>
  <c r="F35" i="5"/>
  <c r="G35" i="5" s="1"/>
  <c r="H35" i="5" s="1"/>
  <c r="E35" i="5"/>
  <c r="C35" i="5"/>
  <c r="D35" i="5" s="1"/>
  <c r="F34" i="5"/>
  <c r="G34" i="5" s="1"/>
  <c r="H34" i="5" s="1"/>
  <c r="E34" i="5"/>
  <c r="C34" i="5"/>
  <c r="D34" i="5" s="1"/>
  <c r="F33" i="5"/>
  <c r="G33" i="5" s="1"/>
  <c r="H33" i="5" s="1"/>
  <c r="E33" i="5"/>
  <c r="C33" i="5"/>
  <c r="D33" i="5" s="1"/>
  <c r="G32" i="5"/>
  <c r="H32" i="5" s="1"/>
  <c r="F32" i="5"/>
  <c r="E32" i="5"/>
  <c r="C32" i="5"/>
  <c r="D32" i="5" s="1"/>
  <c r="F31" i="5"/>
  <c r="G31" i="5" s="1"/>
  <c r="H31" i="5" s="1"/>
  <c r="E31" i="5"/>
  <c r="C31" i="5"/>
  <c r="D31" i="5" s="1"/>
  <c r="F30" i="5"/>
  <c r="G30" i="5" s="1"/>
  <c r="H30" i="5" s="1"/>
  <c r="E30" i="5"/>
  <c r="C30" i="5"/>
  <c r="D30" i="5" s="1"/>
  <c r="F29" i="5"/>
  <c r="G29" i="5" s="1"/>
  <c r="H29" i="5" s="1"/>
  <c r="E29" i="5"/>
  <c r="C29" i="5"/>
  <c r="D29" i="5" s="1"/>
  <c r="F28" i="5"/>
  <c r="G28" i="5" s="1"/>
  <c r="H28" i="5" s="1"/>
  <c r="E28" i="5"/>
  <c r="C28" i="5"/>
  <c r="D28" i="5" s="1"/>
  <c r="F27" i="5"/>
  <c r="G27" i="5" s="1"/>
  <c r="H27" i="5" s="1"/>
  <c r="E27" i="5"/>
  <c r="C27" i="5"/>
  <c r="D27" i="5" s="1"/>
  <c r="F26" i="5"/>
  <c r="G26" i="5" s="1"/>
  <c r="H26" i="5" s="1"/>
  <c r="E26" i="5"/>
  <c r="C26" i="5"/>
  <c r="D26" i="5" s="1"/>
  <c r="F25" i="5"/>
  <c r="G25" i="5" s="1"/>
  <c r="H25" i="5" s="1"/>
  <c r="E25" i="5"/>
  <c r="C25" i="5"/>
  <c r="D25" i="5" s="1"/>
  <c r="F24" i="5"/>
  <c r="G24" i="5" s="1"/>
  <c r="H24" i="5" s="1"/>
  <c r="E24" i="5"/>
  <c r="C24" i="5"/>
  <c r="D24" i="5" s="1"/>
  <c r="F23" i="5"/>
  <c r="G23" i="5" s="1"/>
  <c r="H23" i="5" s="1"/>
  <c r="E23" i="5"/>
  <c r="C23" i="5"/>
  <c r="D23" i="5" s="1"/>
  <c r="F22" i="5"/>
  <c r="G22" i="5" s="1"/>
  <c r="H22" i="5" s="1"/>
  <c r="E22" i="5"/>
  <c r="C22" i="5"/>
  <c r="D22" i="5" s="1"/>
  <c r="F21" i="5"/>
  <c r="G21" i="5" s="1"/>
  <c r="H21" i="5" s="1"/>
  <c r="E21" i="5"/>
  <c r="C21" i="5"/>
  <c r="D21" i="5" s="1"/>
  <c r="F20" i="5"/>
  <c r="G20" i="5" s="1"/>
  <c r="H20" i="5" s="1"/>
  <c r="E20" i="5"/>
  <c r="C20" i="5"/>
  <c r="D20" i="5" s="1"/>
  <c r="F19" i="5"/>
  <c r="G19" i="5" s="1"/>
  <c r="H19" i="5" s="1"/>
  <c r="E19" i="5"/>
  <c r="C19" i="5"/>
  <c r="D19" i="5" s="1"/>
  <c r="K18" i="5"/>
  <c r="F18" i="5"/>
  <c r="G18" i="5" s="1"/>
  <c r="H18" i="5" s="1"/>
  <c r="E18" i="5"/>
  <c r="C18" i="5"/>
  <c r="D18" i="5" s="1"/>
  <c r="K17" i="5"/>
  <c r="F17" i="5"/>
  <c r="G17" i="5" s="1"/>
  <c r="H17" i="5" s="1"/>
  <c r="E17" i="5"/>
  <c r="C17" i="5"/>
  <c r="D17" i="5" s="1"/>
  <c r="K16" i="5"/>
  <c r="F16" i="5"/>
  <c r="G16" i="5" s="1"/>
  <c r="H16" i="5" s="1"/>
  <c r="E16" i="5"/>
  <c r="C16" i="5"/>
  <c r="D16" i="5" s="1"/>
  <c r="F15" i="5"/>
  <c r="G15" i="5" s="1"/>
  <c r="H15" i="5" s="1"/>
  <c r="E15" i="5"/>
  <c r="C15" i="5"/>
  <c r="D15" i="5" s="1"/>
  <c r="F14" i="5"/>
  <c r="G14" i="5" s="1"/>
  <c r="H14" i="5" s="1"/>
  <c r="E14" i="5"/>
  <c r="C14" i="5"/>
  <c r="D14" i="5" s="1"/>
  <c r="F13" i="5"/>
  <c r="G13" i="5" s="1"/>
  <c r="H13" i="5" s="1"/>
  <c r="E13" i="5"/>
  <c r="C13" i="5"/>
  <c r="D13" i="5" s="1"/>
  <c r="F12" i="5"/>
  <c r="G12" i="5" s="1"/>
  <c r="H12" i="5" s="1"/>
  <c r="E12" i="5"/>
  <c r="C12" i="5"/>
  <c r="D12" i="5" s="1"/>
  <c r="F11" i="5"/>
  <c r="G11" i="5" s="1"/>
  <c r="H11" i="5" s="1"/>
  <c r="E11" i="5"/>
  <c r="C11" i="5"/>
  <c r="D11" i="5" s="1"/>
  <c r="F10" i="5"/>
  <c r="G10" i="5" s="1"/>
  <c r="H10" i="5" s="1"/>
  <c r="E10" i="5"/>
  <c r="C10" i="5"/>
  <c r="D10" i="5" s="1"/>
  <c r="F9" i="5"/>
  <c r="G9" i="5" s="1"/>
  <c r="H9" i="5" s="1"/>
  <c r="E9" i="5"/>
  <c r="C9" i="5"/>
  <c r="D9" i="5" s="1"/>
  <c r="F8" i="5"/>
  <c r="G8" i="5" s="1"/>
  <c r="H8" i="5" s="1"/>
  <c r="E8" i="5"/>
  <c r="C8" i="5"/>
  <c r="D8" i="5" s="1"/>
  <c r="F7" i="5"/>
  <c r="G7" i="5" s="1"/>
  <c r="H7" i="5" s="1"/>
  <c r="E7" i="5"/>
  <c r="E42" i="5" s="1"/>
  <c r="C7" i="5"/>
  <c r="K6" i="5"/>
  <c r="B42" i="4"/>
  <c r="F41" i="4"/>
  <c r="G41" i="4" s="1"/>
  <c r="H41" i="4" s="1"/>
  <c r="C41" i="4"/>
  <c r="F40" i="4"/>
  <c r="G40" i="4" s="1"/>
  <c r="H40" i="4" s="1"/>
  <c r="C40" i="4"/>
  <c r="F39" i="4"/>
  <c r="G39" i="4" s="1"/>
  <c r="H39" i="4" s="1"/>
  <c r="C39" i="4"/>
  <c r="F38" i="4"/>
  <c r="G38" i="4" s="1"/>
  <c r="H38" i="4" s="1"/>
  <c r="C38" i="4"/>
  <c r="F37" i="4"/>
  <c r="G37" i="4" s="1"/>
  <c r="H37" i="4" s="1"/>
  <c r="C37" i="4"/>
  <c r="F36" i="4"/>
  <c r="G36" i="4" s="1"/>
  <c r="H36" i="4" s="1"/>
  <c r="C36" i="4"/>
  <c r="F35" i="4"/>
  <c r="G35" i="4" s="1"/>
  <c r="H35" i="4" s="1"/>
  <c r="C35" i="4"/>
  <c r="F34" i="4"/>
  <c r="G34" i="4" s="1"/>
  <c r="H34" i="4" s="1"/>
  <c r="C34" i="4"/>
  <c r="F33" i="4"/>
  <c r="G33" i="4" s="1"/>
  <c r="H33" i="4" s="1"/>
  <c r="C33" i="4"/>
  <c r="F32" i="4"/>
  <c r="G32" i="4" s="1"/>
  <c r="H32" i="4" s="1"/>
  <c r="C32" i="4"/>
  <c r="F31" i="4"/>
  <c r="G31" i="4" s="1"/>
  <c r="H31" i="4" s="1"/>
  <c r="C31" i="4"/>
  <c r="F30" i="4"/>
  <c r="G30" i="4" s="1"/>
  <c r="H30" i="4" s="1"/>
  <c r="C30" i="4"/>
  <c r="F29" i="4"/>
  <c r="G29" i="4" s="1"/>
  <c r="H29" i="4" s="1"/>
  <c r="C29" i="4"/>
  <c r="F28" i="4"/>
  <c r="G28" i="4" s="1"/>
  <c r="H28" i="4" s="1"/>
  <c r="C28" i="4"/>
  <c r="F27" i="4"/>
  <c r="G27" i="4" s="1"/>
  <c r="H27" i="4" s="1"/>
  <c r="C27" i="4"/>
  <c r="F26" i="4"/>
  <c r="G26" i="4" s="1"/>
  <c r="H26" i="4" s="1"/>
  <c r="C26" i="4"/>
  <c r="F25" i="4"/>
  <c r="G25" i="4" s="1"/>
  <c r="H25" i="4" s="1"/>
  <c r="C25" i="4"/>
  <c r="F24" i="4"/>
  <c r="G24" i="4" s="1"/>
  <c r="H24" i="4" s="1"/>
  <c r="C24" i="4"/>
  <c r="F23" i="4"/>
  <c r="G23" i="4" s="1"/>
  <c r="H23" i="4" s="1"/>
  <c r="C23" i="4"/>
  <c r="F22" i="4"/>
  <c r="G22" i="4" s="1"/>
  <c r="H22" i="4" s="1"/>
  <c r="C22" i="4"/>
  <c r="F21" i="4"/>
  <c r="G21" i="4" s="1"/>
  <c r="H21" i="4" s="1"/>
  <c r="C21" i="4"/>
  <c r="F20" i="4"/>
  <c r="G20" i="4" s="1"/>
  <c r="H20" i="4" s="1"/>
  <c r="C20" i="4"/>
  <c r="F19" i="4"/>
  <c r="G19" i="4" s="1"/>
  <c r="H19" i="4" s="1"/>
  <c r="C19" i="4"/>
  <c r="F18" i="4"/>
  <c r="G18" i="4" s="1"/>
  <c r="H18" i="4" s="1"/>
  <c r="C18" i="4"/>
  <c r="F17" i="4"/>
  <c r="G17" i="4" s="1"/>
  <c r="H17" i="4" s="1"/>
  <c r="C17" i="4"/>
  <c r="F16" i="4"/>
  <c r="G16" i="4" s="1"/>
  <c r="H16" i="4" s="1"/>
  <c r="C16" i="4"/>
  <c r="G15" i="4"/>
  <c r="H15" i="4" s="1"/>
  <c r="F15" i="4"/>
  <c r="C15" i="4"/>
  <c r="K14" i="4"/>
  <c r="F14" i="4"/>
  <c r="G14" i="4" s="1"/>
  <c r="H14" i="4" s="1"/>
  <c r="C14" i="4"/>
  <c r="K13" i="4"/>
  <c r="F13" i="4"/>
  <c r="G13" i="4" s="1"/>
  <c r="H13" i="4" s="1"/>
  <c r="C13" i="4"/>
  <c r="F12" i="4"/>
  <c r="G12" i="4" s="1"/>
  <c r="H12" i="4" s="1"/>
  <c r="C12" i="4"/>
  <c r="F11" i="4"/>
  <c r="G11" i="4" s="1"/>
  <c r="H11" i="4" s="1"/>
  <c r="C11" i="4"/>
  <c r="F10" i="4"/>
  <c r="G10" i="4" s="1"/>
  <c r="H10" i="4" s="1"/>
  <c r="C10" i="4"/>
  <c r="F9" i="4"/>
  <c r="G9" i="4" s="1"/>
  <c r="H9" i="4" s="1"/>
  <c r="C9" i="4"/>
  <c r="F8" i="4"/>
  <c r="G8" i="4" s="1"/>
  <c r="H8" i="4" s="1"/>
  <c r="C8" i="4"/>
  <c r="F7" i="4"/>
  <c r="G7" i="4" s="1"/>
  <c r="H7" i="4" s="1"/>
  <c r="H42" i="4" s="1"/>
  <c r="C7" i="4"/>
  <c r="K6" i="4"/>
  <c r="B42" i="3"/>
  <c r="P6" i="3" s="1"/>
  <c r="F41" i="3"/>
  <c r="E41" i="3"/>
  <c r="D41" i="3"/>
  <c r="C41" i="3"/>
  <c r="G41" i="3" s="1"/>
  <c r="F40" i="3"/>
  <c r="E40" i="3"/>
  <c r="D40" i="3"/>
  <c r="C40" i="3"/>
  <c r="G40" i="3" s="1"/>
  <c r="F39" i="3"/>
  <c r="E39" i="3"/>
  <c r="D39" i="3"/>
  <c r="C39" i="3"/>
  <c r="G39" i="3" s="1"/>
  <c r="F38" i="3"/>
  <c r="E38" i="3"/>
  <c r="D38" i="3"/>
  <c r="C38" i="3"/>
  <c r="G38" i="3" s="1"/>
  <c r="F37" i="3"/>
  <c r="E37" i="3"/>
  <c r="D37" i="3"/>
  <c r="C37" i="3"/>
  <c r="G37" i="3" s="1"/>
  <c r="F36" i="3"/>
  <c r="E36" i="3"/>
  <c r="D36" i="3"/>
  <c r="C36" i="3"/>
  <c r="G36" i="3" s="1"/>
  <c r="F35" i="3"/>
  <c r="E35" i="3"/>
  <c r="D35" i="3"/>
  <c r="C35" i="3"/>
  <c r="G35" i="3" s="1"/>
  <c r="F34" i="3"/>
  <c r="E34" i="3"/>
  <c r="D34" i="3"/>
  <c r="C34" i="3"/>
  <c r="G34" i="3" s="1"/>
  <c r="F33" i="3"/>
  <c r="E33" i="3"/>
  <c r="D33" i="3"/>
  <c r="C33" i="3"/>
  <c r="G33" i="3" s="1"/>
  <c r="F32" i="3"/>
  <c r="E32" i="3"/>
  <c r="D32" i="3"/>
  <c r="C32" i="3"/>
  <c r="G32" i="3" s="1"/>
  <c r="F31" i="3"/>
  <c r="E31" i="3"/>
  <c r="D31" i="3"/>
  <c r="C31" i="3"/>
  <c r="G31" i="3" s="1"/>
  <c r="F30" i="3"/>
  <c r="E30" i="3"/>
  <c r="D30" i="3"/>
  <c r="C30" i="3"/>
  <c r="G30" i="3" s="1"/>
  <c r="F29" i="3"/>
  <c r="E29" i="3"/>
  <c r="D29" i="3"/>
  <c r="C29" i="3"/>
  <c r="G29" i="3" s="1"/>
  <c r="F28" i="3"/>
  <c r="E28" i="3"/>
  <c r="D28" i="3"/>
  <c r="C28" i="3"/>
  <c r="G28" i="3" s="1"/>
  <c r="F27" i="3"/>
  <c r="E27" i="3"/>
  <c r="D27" i="3"/>
  <c r="C27" i="3"/>
  <c r="G27" i="3" s="1"/>
  <c r="F26" i="3"/>
  <c r="E26" i="3"/>
  <c r="D26" i="3"/>
  <c r="C26" i="3"/>
  <c r="G26" i="3" s="1"/>
  <c r="F25" i="3"/>
  <c r="E25" i="3"/>
  <c r="D25" i="3"/>
  <c r="C25" i="3"/>
  <c r="G25" i="3" s="1"/>
  <c r="F24" i="3"/>
  <c r="E24" i="3"/>
  <c r="D24" i="3"/>
  <c r="C24" i="3"/>
  <c r="G24" i="3" s="1"/>
  <c r="F23" i="3"/>
  <c r="E23" i="3"/>
  <c r="D23" i="3"/>
  <c r="C23" i="3"/>
  <c r="G23" i="3" s="1"/>
  <c r="F22" i="3"/>
  <c r="E22" i="3"/>
  <c r="D22" i="3"/>
  <c r="C22" i="3"/>
  <c r="G22" i="3" s="1"/>
  <c r="F21" i="3"/>
  <c r="E21" i="3"/>
  <c r="D21" i="3"/>
  <c r="C21" i="3"/>
  <c r="G21" i="3" s="1"/>
  <c r="F20" i="3"/>
  <c r="E20" i="3"/>
  <c r="D20" i="3"/>
  <c r="C20" i="3"/>
  <c r="G20" i="3" s="1"/>
  <c r="F19" i="3"/>
  <c r="E19" i="3"/>
  <c r="D19" i="3"/>
  <c r="C19" i="3"/>
  <c r="G19" i="3" s="1"/>
  <c r="F18" i="3"/>
  <c r="E18" i="3"/>
  <c r="D18" i="3"/>
  <c r="C18" i="3"/>
  <c r="G18" i="3" s="1"/>
  <c r="F17" i="3"/>
  <c r="E17" i="3"/>
  <c r="D17" i="3"/>
  <c r="C17" i="3"/>
  <c r="G17" i="3" s="1"/>
  <c r="F16" i="3"/>
  <c r="E16" i="3"/>
  <c r="D16" i="3"/>
  <c r="C16" i="3"/>
  <c r="G16" i="3" s="1"/>
  <c r="F15" i="3"/>
  <c r="E15" i="3"/>
  <c r="D15" i="3"/>
  <c r="C15" i="3"/>
  <c r="G15" i="3" s="1"/>
  <c r="K14" i="3"/>
  <c r="F14" i="3"/>
  <c r="E14" i="3"/>
  <c r="D14" i="3"/>
  <c r="C14" i="3"/>
  <c r="G14" i="3" s="1"/>
  <c r="E13" i="3"/>
  <c r="C13" i="3"/>
  <c r="G13" i="3" s="1"/>
  <c r="F12" i="3"/>
  <c r="E12" i="3"/>
  <c r="D12" i="3"/>
  <c r="C12" i="3"/>
  <c r="G12" i="3" s="1"/>
  <c r="H11" i="3"/>
  <c r="I11" i="3" s="1"/>
  <c r="J11" i="3" s="1"/>
  <c r="G11" i="3"/>
  <c r="F11" i="3"/>
  <c r="E11" i="3"/>
  <c r="D11" i="3"/>
  <c r="C11" i="3"/>
  <c r="F10" i="3"/>
  <c r="E10" i="3"/>
  <c r="D10" i="3"/>
  <c r="C10" i="3"/>
  <c r="G10" i="3" s="1"/>
  <c r="F9" i="3"/>
  <c r="E9" i="3"/>
  <c r="D9" i="3"/>
  <c r="C9" i="3"/>
  <c r="G9" i="3" s="1"/>
  <c r="F8" i="3"/>
  <c r="E8" i="3"/>
  <c r="D8" i="3"/>
  <c r="C8" i="3"/>
  <c r="G8" i="3" s="1"/>
  <c r="N7" i="3"/>
  <c r="F7" i="3"/>
  <c r="E7" i="3"/>
  <c r="D7" i="3"/>
  <c r="C7" i="3"/>
  <c r="G7" i="3" s="1"/>
  <c r="N6" i="3"/>
  <c r="M6" i="3"/>
  <c r="B42" i="2"/>
  <c r="E41" i="2"/>
  <c r="F41" i="2" s="1"/>
  <c r="G41" i="2" s="1"/>
  <c r="D41" i="2"/>
  <c r="C41" i="2"/>
  <c r="E40" i="2"/>
  <c r="F40" i="2" s="1"/>
  <c r="G40" i="2" s="1"/>
  <c r="D40" i="2"/>
  <c r="C40" i="2"/>
  <c r="E39" i="2"/>
  <c r="F39" i="2" s="1"/>
  <c r="G39" i="2" s="1"/>
  <c r="D39" i="2"/>
  <c r="C39" i="2"/>
  <c r="E38" i="2"/>
  <c r="F38" i="2" s="1"/>
  <c r="G38" i="2" s="1"/>
  <c r="D38" i="2"/>
  <c r="C38" i="2"/>
  <c r="E37" i="2"/>
  <c r="F37" i="2" s="1"/>
  <c r="G37" i="2" s="1"/>
  <c r="D37" i="2"/>
  <c r="C37" i="2"/>
  <c r="E36" i="2"/>
  <c r="F36" i="2" s="1"/>
  <c r="G36" i="2" s="1"/>
  <c r="D36" i="2"/>
  <c r="C36" i="2"/>
  <c r="E35" i="2"/>
  <c r="F35" i="2" s="1"/>
  <c r="G35" i="2" s="1"/>
  <c r="D35" i="2"/>
  <c r="C35" i="2"/>
  <c r="E34" i="2"/>
  <c r="F34" i="2" s="1"/>
  <c r="G34" i="2" s="1"/>
  <c r="D34" i="2"/>
  <c r="C34" i="2"/>
  <c r="C42" i="2" s="1"/>
  <c r="E33" i="2"/>
  <c r="D33" i="2"/>
  <c r="D42" i="2" s="1"/>
  <c r="C33" i="2"/>
  <c r="E32" i="2"/>
  <c r="F32" i="2" s="1"/>
  <c r="G32" i="2" s="1"/>
  <c r="D32" i="2"/>
  <c r="C32" i="2"/>
  <c r="E31" i="2"/>
  <c r="F31" i="2" s="1"/>
  <c r="G31" i="2" s="1"/>
  <c r="D31" i="2"/>
  <c r="C31" i="2"/>
  <c r="E30" i="2"/>
  <c r="F30" i="2" s="1"/>
  <c r="G30" i="2" s="1"/>
  <c r="D30" i="2"/>
  <c r="C30" i="2"/>
  <c r="E29" i="2"/>
  <c r="F29" i="2" s="1"/>
  <c r="G29" i="2" s="1"/>
  <c r="D29" i="2"/>
  <c r="C29" i="2"/>
  <c r="E28" i="2"/>
  <c r="F28" i="2" s="1"/>
  <c r="G28" i="2" s="1"/>
  <c r="D28" i="2"/>
  <c r="C28" i="2"/>
  <c r="E27" i="2"/>
  <c r="F27" i="2" s="1"/>
  <c r="G27" i="2" s="1"/>
  <c r="D27" i="2"/>
  <c r="C27" i="2"/>
  <c r="E26" i="2"/>
  <c r="F26" i="2" s="1"/>
  <c r="G26" i="2" s="1"/>
  <c r="D26" i="2"/>
  <c r="C26" i="2"/>
  <c r="E25" i="2"/>
  <c r="F25" i="2" s="1"/>
  <c r="G25" i="2" s="1"/>
  <c r="D25" i="2"/>
  <c r="C25" i="2"/>
  <c r="E24" i="2"/>
  <c r="F24" i="2" s="1"/>
  <c r="G24" i="2" s="1"/>
  <c r="D24" i="2"/>
  <c r="C24" i="2"/>
  <c r="E23" i="2"/>
  <c r="F23" i="2" s="1"/>
  <c r="G23" i="2" s="1"/>
  <c r="D23" i="2"/>
  <c r="C23" i="2"/>
  <c r="E22" i="2"/>
  <c r="F22" i="2" s="1"/>
  <c r="G22" i="2" s="1"/>
  <c r="D22" i="2"/>
  <c r="C22" i="2"/>
  <c r="E21" i="2"/>
  <c r="F21" i="2" s="1"/>
  <c r="G21" i="2" s="1"/>
  <c r="D21" i="2"/>
  <c r="C21" i="2"/>
  <c r="E20" i="2"/>
  <c r="F20" i="2" s="1"/>
  <c r="G20" i="2" s="1"/>
  <c r="D20" i="2"/>
  <c r="C20" i="2"/>
  <c r="E19" i="2"/>
  <c r="F19" i="2" s="1"/>
  <c r="G19" i="2" s="1"/>
  <c r="D19" i="2"/>
  <c r="C19" i="2"/>
  <c r="E18" i="2"/>
  <c r="F18" i="2" s="1"/>
  <c r="G18" i="2" s="1"/>
  <c r="D18" i="2"/>
  <c r="C18" i="2"/>
  <c r="E17" i="2"/>
  <c r="F17" i="2" s="1"/>
  <c r="G17" i="2" s="1"/>
  <c r="D17" i="2"/>
  <c r="C17" i="2"/>
  <c r="E16" i="2"/>
  <c r="F16" i="2" s="1"/>
  <c r="G16" i="2" s="1"/>
  <c r="D16" i="2"/>
  <c r="C16" i="2"/>
  <c r="E15" i="2"/>
  <c r="F15" i="2" s="1"/>
  <c r="G15" i="2" s="1"/>
  <c r="D15" i="2"/>
  <c r="C15" i="2"/>
  <c r="K14" i="2"/>
  <c r="E14" i="2"/>
  <c r="F14" i="2" s="1"/>
  <c r="G14" i="2" s="1"/>
  <c r="D14" i="2"/>
  <c r="C14" i="2"/>
  <c r="K13" i="2"/>
  <c r="E13" i="2"/>
  <c r="F13" i="2" s="1"/>
  <c r="G13" i="2" s="1"/>
  <c r="D13" i="2"/>
  <c r="C13" i="2"/>
  <c r="E12" i="2"/>
  <c r="F12" i="2" s="1"/>
  <c r="G12" i="2" s="1"/>
  <c r="D12" i="2"/>
  <c r="C12" i="2"/>
  <c r="E11" i="2"/>
  <c r="F11" i="2" s="1"/>
  <c r="G11" i="2" s="1"/>
  <c r="D11" i="2"/>
  <c r="C11" i="2"/>
  <c r="E10" i="2"/>
  <c r="F10" i="2" s="1"/>
  <c r="G10" i="2" s="1"/>
  <c r="D10" i="2"/>
  <c r="C10" i="2"/>
  <c r="E9" i="2"/>
  <c r="F9" i="2" s="1"/>
  <c r="G9" i="2" s="1"/>
  <c r="D9" i="2"/>
  <c r="C9" i="2"/>
  <c r="E8" i="2"/>
  <c r="F8" i="2" s="1"/>
  <c r="G8" i="2" s="1"/>
  <c r="D8" i="2"/>
  <c r="C8" i="2"/>
  <c r="E7" i="2"/>
  <c r="D7" i="2"/>
  <c r="C7" i="2"/>
  <c r="K6" i="2"/>
  <c r="E42" i="3" l="1"/>
  <c r="L8" i="3" s="1"/>
  <c r="D42" i="3"/>
  <c r="C42" i="3"/>
  <c r="G42" i="3"/>
  <c r="P8" i="3" s="1"/>
  <c r="F42" i="3"/>
  <c r="P7" i="3" s="1"/>
  <c r="F41" i="6"/>
  <c r="E41" i="6"/>
  <c r="F40" i="6"/>
  <c r="E40" i="6"/>
  <c r="E39" i="6"/>
  <c r="F39" i="6"/>
  <c r="F38" i="6"/>
  <c r="E38" i="6"/>
  <c r="F37" i="6"/>
  <c r="E37" i="6"/>
  <c r="E36" i="6"/>
  <c r="F36" i="6"/>
  <c r="F35" i="6"/>
  <c r="E35" i="6"/>
  <c r="F34" i="6"/>
  <c r="E34" i="6"/>
  <c r="F33" i="6"/>
  <c r="E33" i="6"/>
  <c r="F32" i="6"/>
  <c r="E32" i="6"/>
  <c r="F31" i="6"/>
  <c r="E31" i="6"/>
  <c r="F30" i="6"/>
  <c r="E30" i="6"/>
  <c r="E29" i="6"/>
  <c r="F29" i="6"/>
  <c r="F28" i="6"/>
  <c r="E28" i="6"/>
  <c r="F27" i="6"/>
  <c r="E27" i="6"/>
  <c r="F26" i="6"/>
  <c r="E26" i="6"/>
  <c r="E25" i="6"/>
  <c r="F25" i="6"/>
  <c r="F24" i="6"/>
  <c r="E24" i="6"/>
  <c r="F23" i="6"/>
  <c r="E23" i="6"/>
  <c r="E22" i="6"/>
  <c r="F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E14" i="6"/>
  <c r="F14" i="6"/>
  <c r="F13" i="6"/>
  <c r="E13" i="6"/>
  <c r="F12" i="6"/>
  <c r="E12" i="6"/>
  <c r="E11" i="6"/>
  <c r="F11" i="6"/>
  <c r="F10" i="6"/>
  <c r="E10" i="6"/>
  <c r="E9" i="6"/>
  <c r="F9" i="6"/>
  <c r="E8" i="6"/>
  <c r="F8" i="6"/>
  <c r="C42" i="6"/>
  <c r="F7" i="6"/>
  <c r="E7" i="6"/>
  <c r="L15" i="6"/>
  <c r="L13" i="6"/>
  <c r="L12" i="6"/>
  <c r="L11" i="6"/>
  <c r="L9" i="6" s="1"/>
  <c r="L10" i="6"/>
  <c r="D7" i="5"/>
  <c r="D42" i="5" s="1"/>
  <c r="C42" i="5"/>
  <c r="K12" i="5"/>
  <c r="K8" i="5"/>
  <c r="K9" i="5" s="1"/>
  <c r="K11" i="5"/>
  <c r="K14" i="5"/>
  <c r="K10" i="5"/>
  <c r="D41" i="4"/>
  <c r="E41" i="4"/>
  <c r="D40" i="4"/>
  <c r="E40" i="4"/>
  <c r="D39" i="4"/>
  <c r="E39" i="4"/>
  <c r="D38" i="4"/>
  <c r="E38" i="4"/>
  <c r="D37" i="4"/>
  <c r="E37" i="4"/>
  <c r="D36" i="4"/>
  <c r="E36" i="4"/>
  <c r="E35" i="4"/>
  <c r="D35" i="4"/>
  <c r="E34" i="4"/>
  <c r="D34" i="4"/>
  <c r="E33" i="4"/>
  <c r="D33" i="4"/>
  <c r="D32" i="4"/>
  <c r="E32" i="4"/>
  <c r="D31" i="4"/>
  <c r="E31" i="4"/>
  <c r="D30" i="4"/>
  <c r="E30" i="4"/>
  <c r="D29" i="4"/>
  <c r="E29" i="4"/>
  <c r="E28" i="4"/>
  <c r="D28" i="4"/>
  <c r="E27" i="4"/>
  <c r="D27" i="4"/>
  <c r="E26" i="4"/>
  <c r="D26" i="4"/>
  <c r="D25" i="4"/>
  <c r="E25" i="4"/>
  <c r="D24" i="4"/>
  <c r="E24" i="4"/>
  <c r="E23" i="4"/>
  <c r="D23" i="4"/>
  <c r="D22" i="4"/>
  <c r="E22" i="4"/>
  <c r="D21" i="4"/>
  <c r="E21" i="4"/>
  <c r="D20" i="4"/>
  <c r="E20" i="4"/>
  <c r="D19" i="4"/>
  <c r="E19" i="4"/>
  <c r="E18" i="4"/>
  <c r="D18" i="4"/>
  <c r="D17" i="4"/>
  <c r="E17" i="4"/>
  <c r="D16" i="4"/>
  <c r="E16" i="4"/>
  <c r="E15" i="4"/>
  <c r="D15" i="4"/>
  <c r="E14" i="4"/>
  <c r="D14" i="4"/>
  <c r="D13" i="4"/>
  <c r="E13" i="4"/>
  <c r="D12" i="4"/>
  <c r="E12" i="4"/>
  <c r="E11" i="4"/>
  <c r="D11" i="4"/>
  <c r="D10" i="4"/>
  <c r="E10" i="4"/>
  <c r="D9" i="4"/>
  <c r="E9" i="4"/>
  <c r="E8" i="4"/>
  <c r="D8" i="4"/>
  <c r="C42" i="4"/>
  <c r="E7" i="4"/>
  <c r="E42" i="4" s="1"/>
  <c r="D7" i="4"/>
  <c r="K8" i="4"/>
  <c r="K16" i="4"/>
  <c r="K11" i="4"/>
  <c r="K10" i="4"/>
  <c r="K9" i="4"/>
  <c r="F33" i="2"/>
  <c r="G33" i="2" s="1"/>
  <c r="E42" i="2"/>
  <c r="K15" i="2"/>
  <c r="F7" i="2"/>
  <c r="K18" i="2"/>
  <c r="K10" i="2"/>
  <c r="K7" i="2"/>
  <c r="K8" i="2" s="1"/>
  <c r="K9" i="2"/>
  <c r="H42" i="5"/>
  <c r="L7" i="3" l="1"/>
  <c r="M8" i="3"/>
  <c r="L6" i="3"/>
  <c r="M7" i="3"/>
  <c r="N8" i="3"/>
  <c r="G7" i="2"/>
  <c r="G42" i="2" s="1"/>
  <c r="F42" i="2"/>
  <c r="F42" i="6"/>
  <c r="E42" i="6"/>
  <c r="D42" i="4"/>
  <c r="N12" i="3" l="1"/>
  <c r="N13" i="3"/>
  <c r="N14" i="3"/>
  <c r="H39" i="3" l="1"/>
  <c r="I39" i="3" s="1"/>
  <c r="J39" i="3" s="1"/>
  <c r="H29" i="3"/>
  <c r="I29" i="3" s="1"/>
  <c r="J29" i="3" s="1"/>
  <c r="H24" i="3"/>
  <c r="I24" i="3" s="1"/>
  <c r="J24" i="3" s="1"/>
  <c r="H19" i="3"/>
  <c r="I19" i="3" s="1"/>
  <c r="J19" i="3" s="1"/>
  <c r="H41" i="3"/>
  <c r="I41" i="3" s="1"/>
  <c r="J41" i="3" s="1"/>
  <c r="H40" i="3"/>
  <c r="I40" i="3" s="1"/>
  <c r="J40" i="3" s="1"/>
  <c r="H36" i="3"/>
  <c r="I36" i="3" s="1"/>
  <c r="J36" i="3" s="1"/>
  <c r="H34" i="3"/>
  <c r="I34" i="3" s="1"/>
  <c r="J34" i="3" s="1"/>
  <c r="H32" i="3"/>
  <c r="I32" i="3" s="1"/>
  <c r="J32" i="3" s="1"/>
  <c r="H30" i="3"/>
  <c r="I30" i="3" s="1"/>
  <c r="J30" i="3" s="1"/>
  <c r="H28" i="3"/>
  <c r="I28" i="3" s="1"/>
  <c r="J28" i="3" s="1"/>
  <c r="H26" i="3"/>
  <c r="I26" i="3" s="1"/>
  <c r="J26" i="3" s="1"/>
  <c r="H20" i="3"/>
  <c r="I20" i="3" s="1"/>
  <c r="J20" i="3" s="1"/>
  <c r="H18" i="3"/>
  <c r="I18" i="3" s="1"/>
  <c r="J18" i="3" s="1"/>
  <c r="H38" i="3"/>
  <c r="I38" i="3" s="1"/>
  <c r="J38" i="3" s="1"/>
  <c r="H37" i="3"/>
  <c r="I37" i="3" s="1"/>
  <c r="J37" i="3" s="1"/>
  <c r="H35" i="3"/>
  <c r="I35" i="3" s="1"/>
  <c r="J35" i="3" s="1"/>
  <c r="H33" i="3"/>
  <c r="I33" i="3" s="1"/>
  <c r="J33" i="3" s="1"/>
  <c r="H31" i="3"/>
  <c r="I31" i="3" s="1"/>
  <c r="J31" i="3" s="1"/>
  <c r="H27" i="3"/>
  <c r="I27" i="3" s="1"/>
  <c r="J27" i="3" s="1"/>
  <c r="H25" i="3"/>
  <c r="I25" i="3" s="1"/>
  <c r="J25" i="3" s="1"/>
  <c r="H17" i="3"/>
  <c r="I17" i="3" s="1"/>
  <c r="J17" i="3" s="1"/>
  <c r="H23" i="3"/>
  <c r="I23" i="3" s="1"/>
  <c r="J23" i="3" s="1"/>
  <c r="H22" i="3"/>
  <c r="I22" i="3" s="1"/>
  <c r="J22" i="3" s="1"/>
  <c r="H21" i="3"/>
  <c r="I21" i="3" s="1"/>
  <c r="J21" i="3" s="1"/>
  <c r="H15" i="3"/>
  <c r="I15" i="3" s="1"/>
  <c r="J15" i="3" s="1"/>
  <c r="H16" i="3"/>
  <c r="I16" i="3" s="1"/>
  <c r="J16" i="3" s="1"/>
  <c r="H13" i="3"/>
  <c r="I13" i="3" s="1"/>
  <c r="J13" i="3" s="1"/>
  <c r="H14" i="3"/>
  <c r="I14" i="3" s="1"/>
  <c r="J14" i="3" s="1"/>
  <c r="H10" i="3"/>
  <c r="I10" i="3" s="1"/>
  <c r="J10" i="3" s="1"/>
  <c r="H12" i="3"/>
  <c r="I12" i="3" s="1"/>
  <c r="J12" i="3" s="1"/>
  <c r="H8" i="3"/>
  <c r="I8" i="3" s="1"/>
  <c r="J8" i="3" s="1"/>
  <c r="H9" i="3"/>
  <c r="I9" i="3" s="1"/>
  <c r="J9" i="3" s="1"/>
  <c r="H7" i="3"/>
  <c r="I7" i="3" s="1"/>
  <c r="I42" i="3" l="1"/>
  <c r="J7" i="3"/>
  <c r="K13" i="3" l="1"/>
  <c r="J42" i="3"/>
  <c r="K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Solo modifica las celdas azules de x e y. La plantilla soporta hasta 35 datos, desde la fila 7 hasta la 41.</t>
        </r>
      </text>
    </comment>
    <comment ref="A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8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9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9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0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3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3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5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5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6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6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7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7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8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8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9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9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0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0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1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1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2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2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3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3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4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4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5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5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6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6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7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7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8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8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9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9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0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0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1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1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2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2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3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3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4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4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5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5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6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6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7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7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8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8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9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9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40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40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41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41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Solo modifica las celdas azules de x e y. La plantilla soporta hasta 35 datos, desde la fila 7 hasta la 41.</t>
        </r>
      </text>
    </comment>
    <comment ref="A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7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8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8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9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9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0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0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2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3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3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5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5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6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6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7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7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8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8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9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9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0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0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1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1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2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2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3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3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4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4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5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5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6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6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7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7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8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8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9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9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0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0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1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1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2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2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3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3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4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4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5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5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6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6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7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7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8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8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9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9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40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40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41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41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Solo modifica las celdas azules de x e y. La plantilla soporta hasta 35 datos, desde la fila 7 hasta la 41.</t>
        </r>
      </text>
    </comment>
    <comment ref="A7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7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8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8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9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9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0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0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2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2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3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3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4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4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5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5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6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6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7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7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8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8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9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9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0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0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1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1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2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2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3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3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4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4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5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5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6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6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7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7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8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8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9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9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0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0" authorId="0" shapeId="0" xr:uid="{00000000-0006-0000-0300-00003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1" authorId="0" shapeId="0" xr:uid="{00000000-0006-0000-0300-00003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1" authorId="0" shapeId="0" xr:uid="{00000000-0006-0000-0300-00003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2" authorId="0" shapeId="0" xr:uid="{00000000-0006-0000-0300-00003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2" authorId="0" shapeId="0" xr:uid="{00000000-0006-0000-0300-00003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3" authorId="0" shapeId="0" xr:uid="{00000000-0006-0000-0300-00003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3" authorId="0" shapeId="0" xr:uid="{00000000-0006-0000-0300-00003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4" authorId="0" shapeId="0" xr:uid="{00000000-0006-0000-0300-00003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4" authorId="0" shapeId="0" xr:uid="{00000000-0006-0000-0300-00003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5" authorId="0" shapeId="0" xr:uid="{00000000-0006-0000-0300-00003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5" authorId="0" shapeId="0" xr:uid="{00000000-0006-0000-0300-00003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6" authorId="0" shapeId="0" xr:uid="{00000000-0006-0000-0300-00003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6" authorId="0" shapeId="0" xr:uid="{00000000-0006-0000-0300-00003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7" authorId="0" shapeId="0" xr:uid="{00000000-0006-0000-0300-00003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7" authorId="0" shapeId="0" xr:uid="{00000000-0006-0000-0300-00003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8" authorId="0" shapeId="0" xr:uid="{00000000-0006-0000-0300-00004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8" authorId="0" shapeId="0" xr:uid="{00000000-0006-0000-0300-00004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9" authorId="0" shapeId="0" xr:uid="{00000000-0006-0000-0300-00004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9" authorId="0" shapeId="0" xr:uid="{00000000-0006-0000-0300-00004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40" authorId="0" shapeId="0" xr:uid="{00000000-0006-0000-0300-00004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40" authorId="0" shapeId="0" xr:uid="{00000000-0006-0000-0300-00004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41" authorId="0" shapeId="0" xr:uid="{00000000-0006-0000-0300-00004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41" authorId="0" shapeId="0" xr:uid="{00000000-0006-0000-0300-00004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5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Solo modifica las celdas azules de x e y. La plantilla soporta hasta 35 datos, desde la fila 7 hasta la 41.</t>
        </r>
      </text>
    </comment>
    <comment ref="A7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7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8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8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9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9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0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0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1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2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2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3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3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4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4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5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5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6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6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7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7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8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8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9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9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0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0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1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1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2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2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3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3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4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4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5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5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6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6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7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7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8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8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9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9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0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0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1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1" authorId="0" shapeId="0" xr:uid="{00000000-0006-0000-0400-00003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2" authorId="0" shapeId="0" xr:uid="{00000000-0006-0000-0400-00003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2" authorId="0" shapeId="0" xr:uid="{00000000-0006-0000-0400-00003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3" authorId="0" shapeId="0" xr:uid="{00000000-0006-0000-0400-00003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3" authorId="0" shapeId="0" xr:uid="{00000000-0006-0000-0400-00003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4" authorId="0" shapeId="0" xr:uid="{00000000-0006-0000-0400-00003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4" authorId="0" shapeId="0" xr:uid="{00000000-0006-0000-0400-00003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5" authorId="0" shapeId="0" xr:uid="{00000000-0006-0000-0400-00003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5" authorId="0" shapeId="0" xr:uid="{00000000-0006-0000-0400-00003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6" authorId="0" shapeId="0" xr:uid="{00000000-0006-0000-0400-00003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6" authorId="0" shapeId="0" xr:uid="{00000000-0006-0000-0400-00003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7" authorId="0" shapeId="0" xr:uid="{00000000-0006-0000-0400-00003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7" authorId="0" shapeId="0" xr:uid="{00000000-0006-0000-0400-00003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8" authorId="0" shapeId="0" xr:uid="{00000000-0006-0000-0400-00004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8" authorId="0" shapeId="0" xr:uid="{00000000-0006-0000-0400-00004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9" authorId="0" shapeId="0" xr:uid="{00000000-0006-0000-0400-00004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9" authorId="0" shapeId="0" xr:uid="{00000000-0006-0000-0400-00004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40" authorId="0" shapeId="0" xr:uid="{00000000-0006-0000-0400-00004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40" authorId="0" shapeId="0" xr:uid="{00000000-0006-0000-0400-00004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41" authorId="0" shapeId="0" xr:uid="{00000000-0006-0000-0400-00004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41" authorId="0" shapeId="0" xr:uid="{00000000-0006-0000-0400-00004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Solo modifica las celdas azules de x e y. La plantilla soporta hasta 35 datos, desde la fila 7 hasta la 41.</t>
        </r>
      </text>
    </comment>
    <comment ref="A7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7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8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8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9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9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0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0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1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2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2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3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3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4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5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5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6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6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8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8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19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19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0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0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2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2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3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3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4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4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6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8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8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29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29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0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0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1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1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2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2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3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3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4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4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6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6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7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7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8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39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39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40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40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  <comment ref="A41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Entrada x</t>
        </r>
      </text>
    </comment>
    <comment ref="B41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Entrada y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<sst xmlns="http://schemas.openxmlformats.org/spreadsheetml/2006/main" count="157" uniqueCount="85">
  <si>
    <t>PLANTILLA DE MODELOS DE AJUSTE</t>
  </si>
  <si>
    <t>Todo el contenido esta en espanol. Las funciones de Excel estan en ingles porque tu Excel esta en ingles.</t>
  </si>
  <si>
    <t>COMO USAR ESTA PLANTILLA</t>
  </si>
  <si>
    <t>1) Solo escribe tus datos en las celdas azules de cada hoja.</t>
  </si>
  <si>
    <t>2) Cada modelo soporta hasta 35 datos: filas 7 a 41.</t>
  </si>
  <si>
    <t>3) La fila 42 calcula las sumatorias.</t>
  </si>
  <si>
    <t>4) Las celdas verdes muestran coeficientes, R2, MSE y modelo final.</t>
  </si>
  <si>
    <t>5) En cada hoja se incluyen las formulas manuales y las funciones de Excel en ingles.</t>
  </si>
  <si>
    <t>MODELOS INCLUIDOS</t>
  </si>
  <si>
    <t>LINEAL</t>
  </si>
  <si>
    <t>y = m x + b</t>
  </si>
  <si>
    <t>CUADRATICO</t>
  </si>
  <si>
    <t>y = a x^2 + b x + c</t>
  </si>
  <si>
    <t>LOGARITMICO</t>
  </si>
  <si>
    <t>y = a + b ln(x)</t>
  </si>
  <si>
    <t>EXPONENCIAL</t>
  </si>
  <si>
    <t>y = a e^(b x)</t>
  </si>
  <si>
    <t>POTENCIA</t>
  </si>
  <si>
    <t>y = a x^b</t>
  </si>
  <si>
    <t>MODELO LINEAL</t>
  </si>
  <si>
    <t>Modelo: y = m x + b. Se usan x, y, x^2 y x*y.</t>
  </si>
  <si>
    <t>DATOS Y TABLA DE CALCULO</t>
  </si>
  <si>
    <t>FORMULAS MANUALES</t>
  </si>
  <si>
    <t>Escribe datos aqui</t>
  </si>
  <si>
    <t>x</t>
  </si>
  <si>
    <t>y</t>
  </si>
  <si>
    <t>x^2</t>
  </si>
  <si>
    <t>x*y</t>
  </si>
  <si>
    <t>y_model</t>
  </si>
  <si>
    <t>error</t>
  </si>
  <si>
    <t>error^2</t>
  </si>
  <si>
    <t>comentario</t>
  </si>
  <si>
    <t>n</t>
  </si>
  <si>
    <t>Cantidad de datos</t>
  </si>
  <si>
    <t>m</t>
  </si>
  <si>
    <t>Pendiente</t>
  </si>
  <si>
    <t>b</t>
  </si>
  <si>
    <t>Interseccion</t>
  </si>
  <si>
    <t>R2</t>
  </si>
  <si>
    <t>Coeficiente de determinacion</t>
  </si>
  <si>
    <t>MSE</t>
  </si>
  <si>
    <t>Error cuadratico medio</t>
  </si>
  <si>
    <t>FUNCIONES RAPIDAS DE EXCEL (INGLES)</t>
  </si>
  <si>
    <t>SLOPE</t>
  </si>
  <si>
    <t>INTERCEPT</t>
  </si>
  <si>
    <t>RSQ</t>
  </si>
  <si>
    <t>MODELO FINAL</t>
  </si>
  <si>
    <t>SUMA</t>
  </si>
  <si>
    <t>MODELO CUADRATICO</t>
  </si>
  <si>
    <t>Modelo: y = a x^2 + b x + c. Incluye ecuaciones normales, matriz A y vector B.</t>
  </si>
  <si>
    <t>ECUACIONES NORMALES Y COEFICIENTES</t>
  </si>
  <si>
    <t>Matriz A</t>
  </si>
  <si>
    <t>Vector B</t>
  </si>
  <si>
    <t>x^3</t>
  </si>
  <si>
    <t>x^4</t>
  </si>
  <si>
    <t>x^2*y</t>
  </si>
  <si>
    <t>Coeficientes</t>
  </si>
  <si>
    <t>a</t>
  </si>
  <si>
    <t>c</t>
  </si>
  <si>
    <t>Sistema:</t>
  </si>
  <si>
    <t>SUM(y)=a SUM(x^2)+b SUM(x)+c n</t>
  </si>
  <si>
    <t>SUM(xy)=a SUM(x^3)+b SUM(x^2)+c SUM(x)</t>
  </si>
  <si>
    <t>SUM(x^2 y)=a SUM(x^4)+b SUM(x^3)+c SUM(x^2)</t>
  </si>
  <si>
    <t>MODELO LOGARITMICO</t>
  </si>
  <si>
    <t>Modelo: y = a + b ln(x). Transformacion lineal: X = ln(x).</t>
  </si>
  <si>
    <t>FORMULAS Y RESULTADOS</t>
  </si>
  <si>
    <t>ln(x)</t>
  </si>
  <si>
    <t>[ln(x)]^2</t>
  </si>
  <si>
    <t>y*ln(x)</t>
  </si>
  <si>
    <t>X = ln(x)</t>
  </si>
  <si>
    <t>Transformacion</t>
  </si>
  <si>
    <t>Pendiente manual</t>
  </si>
  <si>
    <t>Interseccion manual</t>
  </si>
  <si>
    <t>MODELO EXPONENCIAL</t>
  </si>
  <si>
    <t>Modelo: y = a e^(b x). Transformacion lineal: Y = ln(y) = ln(a) + b x.</t>
  </si>
  <si>
    <t>ln(y)</t>
  </si>
  <si>
    <t>x*ln(y)</t>
  </si>
  <si>
    <t>Y = ln(y)</t>
  </si>
  <si>
    <t>ln(a)</t>
  </si>
  <si>
    <t>Formula manual b</t>
  </si>
  <si>
    <t>Formula manual ln(a)</t>
  </si>
  <si>
    <t>Recuperar a</t>
  </si>
  <si>
    <t>MODELO POTENCIA</t>
  </si>
  <si>
    <t>Modelo: y = a x^b. Transformacion lineal: X = ln(x), Y = ln(y).</t>
  </si>
  <si>
    <t>ln(x)*ln(y)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</si>
</sst>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1F2937"/>
      <name val="Calibri"/>
    </font>
    <font>
      <b/>
      <sz val="11"/>
      <color rgb="FFFFFFFF"/>
      <name val="Calibri"/>
    </font>
    <font>
      <i/>
      <sz val="9"/>
      <color rgb="FF6B7280"/>
      <name val="Calibri"/>
    </font>
    <font>
      <sz val="10"/>
      <color rgb="FF1D4ED8"/>
      <name val="Calibri"/>
    </font>
    <font>
      <b/>
      <sz val="10"/>
      <color rgb="FF1F2937"/>
      <name val="Calibri"/>
    </font>
    <font>
      <sz val="9"/>
      <color rgb="FF1F293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14B8A6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medium">
        <color rgb="FF0F766E"/>
      </top>
      <bottom style="thin">
        <color rgb="FFD1D5D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164" fontId="6" fillId="7" borderId="2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6" fillId="3" borderId="1" xfId="0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0" fillId="0" borderId="0" xfId="0"/>
    <xf numFmtId="0" fontId="2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Ajuste lineal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Datos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LINEAL!$A$7:$A$41</c:f>
              <c:numCache>
                <c:formatCode>0.000000</c:formatCode>
                <c:ptCount val="35"/>
              </c:numCache>
            </c:numRef>
          </c:xVal>
          <c:yVal>
            <c:numRef>
              <c:f>LINEAL!$B$7:$B$41</c:f>
              <c:numCache>
                <c:formatCode>0.000000</c:formatCode>
                <c:ptCount val="3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1D-4740-8041-071762E1CF8C}"/>
            </c:ext>
          </c:extLst>
        </c:ser>
        <c:ser>
          <c:idx val="1"/>
          <c:order val="1"/>
          <c:tx>
            <c:v>Modelo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LINEAL!$A$7:$A$41</c:f>
              <c:numCache>
                <c:formatCode>0.000000</c:formatCode>
                <c:ptCount val="35"/>
              </c:numCache>
            </c:numRef>
          </c:xVal>
          <c:yVal>
            <c:numRef>
              <c:f>LINEAL!$E$7:$E$41</c:f>
              <c:numCache>
                <c:formatCode>0.000000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1D-4740-8041-071762E1C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y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BO"/>
              <a:t>Ajuste cuadratico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Datos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CUADRATICO!$A$7:$A$41</c:f>
              <c:numCache>
                <c:formatCode>0.000000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</c:numCache>
            </c:numRef>
          </c:xVal>
          <c:yVal>
            <c:numRef>
              <c:f>CUADRATICO!$B$7:$B$41</c:f>
              <c:numCache>
                <c:formatCode>0.000000</c:formatCode>
                <c:ptCount val="3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63-4BA5-B3A2-16AE74C5D7B6}"/>
            </c:ext>
          </c:extLst>
        </c:ser>
        <c:ser>
          <c:idx val="1"/>
          <c:order val="1"/>
          <c:tx>
            <c:v>Modelo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CUADRATICO!$A$7:$A$41</c:f>
              <c:numCache>
                <c:formatCode>0.000000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</c:numCache>
            </c:numRef>
          </c:xVal>
          <c:yVal>
            <c:numRef>
              <c:f>CUADRATICO!$H$7:$H$41</c:f>
              <c:numCache>
                <c:formatCode>0.000000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63-4BA5-B3A2-16AE74C5D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x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BO"/>
                  <a:t>y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Ajuste logaritmico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Datos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LOGARITMICO!$A$7:$A$41</c:f>
              <c:numCache>
                <c:formatCode>0.000000</c:formatCode>
                <c:ptCount val="35"/>
              </c:numCache>
            </c:numRef>
          </c:xVal>
          <c:yVal>
            <c:numRef>
              <c:f>LOGARITMICO!$B$7:$B$41</c:f>
              <c:numCache>
                <c:formatCode>0.000000</c:formatCode>
                <c:ptCount val="3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5F-46BF-9D5A-3AA99B04748A}"/>
            </c:ext>
          </c:extLst>
        </c:ser>
        <c:ser>
          <c:idx val="1"/>
          <c:order val="1"/>
          <c:tx>
            <c:v>Modelo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LOGARITMICO!$A$7:$A$41</c:f>
              <c:numCache>
                <c:formatCode>0.000000</c:formatCode>
                <c:ptCount val="35"/>
              </c:numCache>
            </c:numRef>
          </c:xVal>
          <c:yVal>
            <c:numRef>
              <c:f>LOGARITMICO!$F$7:$F$41</c:f>
              <c:numCache>
                <c:formatCode>0.000000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5F-46BF-9D5A-3AA99B047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y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Ajuste exponencial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Datos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EXPONENCIAL!$A$7:$A$41</c:f>
              <c:numCache>
                <c:formatCode>0.000000</c:formatCode>
                <c:ptCount val="35"/>
              </c:numCache>
            </c:numRef>
          </c:xVal>
          <c:yVal>
            <c:numRef>
              <c:f>EXPONENCIAL!$B$7:$B$41</c:f>
              <c:numCache>
                <c:formatCode>0.000000</c:formatCode>
                <c:ptCount val="3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8F-45DD-A759-A60147A4B224}"/>
            </c:ext>
          </c:extLst>
        </c:ser>
        <c:ser>
          <c:idx val="1"/>
          <c:order val="1"/>
          <c:tx>
            <c:v>Modelo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EXPONENCIAL!$A$7:$A$41</c:f>
              <c:numCache>
                <c:formatCode>0.000000</c:formatCode>
                <c:ptCount val="35"/>
              </c:numCache>
            </c:numRef>
          </c:xVal>
          <c:yVal>
            <c:numRef>
              <c:f>EXPONENCIAL!$F$7:$F$41</c:f>
              <c:numCache>
                <c:formatCode>0.000000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8F-45DD-A759-A60147A4B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y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Ajuste de potencia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Datos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POTENCIA!$A$7:$A$41</c:f>
              <c:numCache>
                <c:formatCode>0.000000</c:formatCode>
                <c:ptCount val="35"/>
              </c:numCache>
            </c:numRef>
          </c:xVal>
          <c:yVal>
            <c:numRef>
              <c:f>POTENCIA!$B$7:$B$41</c:f>
              <c:numCache>
                <c:formatCode>0.000000</c:formatCode>
                <c:ptCount val="3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AD-423D-AB69-1EC1F06BA2A8}"/>
            </c:ext>
          </c:extLst>
        </c:ser>
        <c:ser>
          <c:idx val="1"/>
          <c:order val="1"/>
          <c:tx>
            <c:v>Modelo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POTENCIA!$A$7:$A$41</c:f>
              <c:numCache>
                <c:formatCode>0.000000</c:formatCode>
                <c:ptCount val="35"/>
              </c:numCache>
            </c:numRef>
          </c:xVal>
          <c:yVal>
            <c:numRef>
              <c:f>POTENCIA!$G$7:$G$41</c:f>
              <c:numCache>
                <c:formatCode>0.000000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AD-423D-AB69-1EC1F06BA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y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19</xdr:row>
      <xdr:rowOff>0</xdr:rowOff>
    </xdr:from>
    <xdr:ext cx="39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21</xdr:row>
      <xdr:rowOff>0</xdr:rowOff>
    </xdr:from>
    <xdr:ext cx="39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18</xdr:row>
      <xdr:rowOff>0</xdr:rowOff>
    </xdr:from>
    <xdr:ext cx="39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20</xdr:row>
      <xdr:rowOff>0</xdr:rowOff>
    </xdr:from>
    <xdr:ext cx="39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21</xdr:row>
      <xdr:rowOff>0</xdr:rowOff>
    </xdr:from>
    <xdr:ext cx="39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8" width="18" customWidth="1"/>
  </cols>
  <sheetData>
    <row r="1" spans="1:8" ht="21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</row>
    <row r="2" spans="1:8" ht="27.95" customHeight="1" x14ac:dyDescent="0.25">
      <c r="A2" s="23" t="s">
        <v>1</v>
      </c>
      <c r="B2" s="21"/>
      <c r="C2" s="21"/>
      <c r="D2" s="21"/>
      <c r="E2" s="21"/>
      <c r="F2" s="21"/>
      <c r="G2" s="21"/>
      <c r="H2" s="21"/>
    </row>
    <row r="3" spans="1:8" ht="21" customHeight="1" x14ac:dyDescent="0.25"/>
    <row r="4" spans="1:8" ht="21" customHeight="1" x14ac:dyDescent="0.25">
      <c r="A4" s="19" t="s">
        <v>2</v>
      </c>
      <c r="B4" s="19"/>
      <c r="C4" s="19"/>
      <c r="D4" s="19"/>
      <c r="E4" s="19"/>
      <c r="F4" s="19"/>
      <c r="G4" s="19"/>
      <c r="H4" s="19"/>
    </row>
    <row r="5" spans="1:8" ht="21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</row>
    <row r="6" spans="1:8" ht="21" customHeight="1" x14ac:dyDescent="0.25">
      <c r="A6" s="20" t="s">
        <v>4</v>
      </c>
      <c r="B6" s="21"/>
      <c r="C6" s="21"/>
      <c r="D6" s="21"/>
      <c r="E6" s="21"/>
      <c r="F6" s="21"/>
      <c r="G6" s="21"/>
      <c r="H6" s="21"/>
    </row>
    <row r="7" spans="1:8" ht="21" customHeight="1" x14ac:dyDescent="0.25">
      <c r="A7" s="20" t="s">
        <v>5</v>
      </c>
      <c r="B7" s="21"/>
      <c r="C7" s="21"/>
      <c r="D7" s="21"/>
      <c r="E7" s="21"/>
      <c r="F7" s="21"/>
      <c r="G7" s="21"/>
      <c r="H7" s="21"/>
    </row>
    <row r="8" spans="1:8" ht="21" customHeight="1" x14ac:dyDescent="0.25">
      <c r="A8" s="20" t="s">
        <v>6</v>
      </c>
      <c r="B8" s="21"/>
      <c r="C8" s="21"/>
      <c r="D8" s="21"/>
      <c r="E8" s="21"/>
      <c r="F8" s="21"/>
      <c r="G8" s="21"/>
      <c r="H8" s="21"/>
    </row>
    <row r="9" spans="1:8" ht="21" customHeight="1" x14ac:dyDescent="0.25">
      <c r="A9" s="20" t="s">
        <v>7</v>
      </c>
      <c r="B9" s="21"/>
      <c r="C9" s="21"/>
      <c r="D9" s="21"/>
      <c r="E9" s="21"/>
      <c r="F9" s="21"/>
      <c r="G9" s="21"/>
      <c r="H9" s="21"/>
    </row>
    <row r="10" spans="1:8" ht="21" customHeight="1" x14ac:dyDescent="0.25"/>
    <row r="11" spans="1:8" ht="21" customHeight="1" x14ac:dyDescent="0.25"/>
    <row r="12" spans="1:8" ht="21" customHeight="1" x14ac:dyDescent="0.25">
      <c r="A12" s="19" t="s">
        <v>8</v>
      </c>
      <c r="B12" s="19"/>
      <c r="C12" s="19"/>
      <c r="D12" s="19"/>
      <c r="E12" s="19"/>
      <c r="F12" s="19"/>
      <c r="G12" s="19"/>
      <c r="H12" s="19"/>
    </row>
    <row r="13" spans="1:8" ht="21" customHeight="1" x14ac:dyDescent="0.25">
      <c r="A13" s="2" t="s">
        <v>9</v>
      </c>
      <c r="B13" s="22" t="s">
        <v>10</v>
      </c>
      <c r="C13" s="21"/>
      <c r="D13" s="21"/>
      <c r="E13" s="21"/>
      <c r="F13" s="21"/>
      <c r="G13" s="21"/>
      <c r="H13" s="21"/>
    </row>
    <row r="14" spans="1:8" ht="21" customHeight="1" x14ac:dyDescent="0.25">
      <c r="A14" s="2" t="s">
        <v>11</v>
      </c>
      <c r="B14" s="22" t="s">
        <v>12</v>
      </c>
      <c r="C14" s="21"/>
      <c r="D14" s="21"/>
      <c r="E14" s="21"/>
      <c r="F14" s="21"/>
      <c r="G14" s="21"/>
      <c r="H14" s="21"/>
    </row>
    <row r="15" spans="1:8" ht="21" customHeight="1" x14ac:dyDescent="0.25">
      <c r="A15" s="2" t="s">
        <v>13</v>
      </c>
      <c r="B15" s="22" t="s">
        <v>14</v>
      </c>
      <c r="C15" s="21"/>
      <c r="D15" s="21"/>
      <c r="E15" s="21"/>
      <c r="F15" s="21"/>
      <c r="G15" s="21"/>
      <c r="H15" s="21"/>
    </row>
    <row r="16" spans="1:8" ht="21" customHeight="1" x14ac:dyDescent="0.25">
      <c r="A16" s="2" t="s">
        <v>15</v>
      </c>
      <c r="B16" s="22" t="s">
        <v>16</v>
      </c>
      <c r="C16" s="21"/>
      <c r="D16" s="21"/>
      <c r="E16" s="21"/>
      <c r="F16" s="21"/>
      <c r="G16" s="21"/>
      <c r="H16" s="21"/>
    </row>
    <row r="17" spans="1:8" ht="21" customHeight="1" x14ac:dyDescent="0.25">
      <c r="A17" s="2" t="s">
        <v>17</v>
      </c>
      <c r="B17" s="22" t="s">
        <v>18</v>
      </c>
      <c r="C17" s="21"/>
      <c r="D17" s="21"/>
      <c r="E17" s="21"/>
      <c r="F17" s="21"/>
      <c r="G17" s="21"/>
      <c r="H17" s="21"/>
    </row>
    <row r="18" spans="1:8" ht="21" customHeight="1" x14ac:dyDescent="0.25"/>
    <row r="19" spans="1:8" ht="21" customHeight="1" x14ac:dyDescent="0.25"/>
    <row r="20" spans="1:8" ht="21" customHeight="1" x14ac:dyDescent="0.25"/>
    <row r="21" spans="1:8" ht="21" customHeight="1" x14ac:dyDescent="0.25"/>
    <row r="22" spans="1:8" ht="21" customHeight="1" x14ac:dyDescent="0.25"/>
    <row r="23" spans="1:8" ht="21" customHeight="1" x14ac:dyDescent="0.25"/>
    <row r="24" spans="1:8" ht="21" customHeight="1" x14ac:dyDescent="0.25"/>
    <row r="25" spans="1:8" ht="21" customHeight="1" x14ac:dyDescent="0.25"/>
    <row r="26" spans="1:8" ht="21" customHeight="1" x14ac:dyDescent="0.25"/>
    <row r="27" spans="1:8" ht="21" customHeight="1" x14ac:dyDescent="0.25"/>
    <row r="28" spans="1:8" ht="21" customHeight="1" x14ac:dyDescent="0.25"/>
    <row r="29" spans="1:8" ht="21" customHeight="1" x14ac:dyDescent="0.25"/>
    <row r="30" spans="1:8" ht="21" customHeight="1" x14ac:dyDescent="0.25"/>
    <row r="31" spans="1:8" ht="21" customHeight="1" x14ac:dyDescent="0.25"/>
    <row r="32" spans="1:8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  <row r="40" ht="21" customHeight="1" x14ac:dyDescent="0.25"/>
    <row r="41" ht="21" customHeight="1" x14ac:dyDescent="0.25"/>
    <row r="42" ht="21" customHeight="1" x14ac:dyDescent="0.25"/>
    <row r="43" ht="21" customHeight="1" x14ac:dyDescent="0.25"/>
    <row r="44" ht="21" customHeight="1" x14ac:dyDescent="0.25"/>
  </sheetData>
  <mergeCells count="14">
    <mergeCell ref="B17:H17"/>
    <mergeCell ref="A7:H7"/>
    <mergeCell ref="B13:H13"/>
    <mergeCell ref="A2:H2"/>
    <mergeCell ref="B16:H16"/>
    <mergeCell ref="B15:H15"/>
    <mergeCell ref="A5:H5"/>
    <mergeCell ref="A8:H8"/>
    <mergeCell ref="A6:H6"/>
    <mergeCell ref="A1:H1"/>
    <mergeCell ref="A4:H4"/>
    <mergeCell ref="A9:H9"/>
    <mergeCell ref="A12:H12"/>
    <mergeCell ref="B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11" customWidth="1"/>
    <col min="2" max="4" width="12" customWidth="1"/>
    <col min="5" max="5" width="14" customWidth="1"/>
    <col min="6" max="7" width="12" customWidth="1"/>
    <col min="8" max="8" width="18" customWidth="1"/>
    <col min="10" max="10" width="20" customWidth="1"/>
    <col min="11" max="11" width="16" customWidth="1"/>
    <col min="12" max="12" width="42" customWidth="1"/>
  </cols>
  <sheetData>
    <row r="1" spans="1:14" ht="24" customHeight="1" x14ac:dyDescent="0.25">
      <c r="A1" s="18" t="s">
        <v>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24" customHeight="1" x14ac:dyDescent="0.25">
      <c r="A2" s="24" t="s">
        <v>20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1" customHeight="1" x14ac:dyDescent="0.25"/>
    <row r="4" spans="1:14" ht="21" customHeight="1" x14ac:dyDescent="0.25">
      <c r="A4" s="19" t="s">
        <v>21</v>
      </c>
      <c r="B4" s="19"/>
      <c r="C4" s="19"/>
      <c r="D4" s="19"/>
      <c r="E4" s="19"/>
      <c r="F4" s="19"/>
      <c r="G4" s="19"/>
      <c r="H4" s="19"/>
      <c r="J4" s="1" t="s">
        <v>22</v>
      </c>
    </row>
    <row r="5" spans="1:14" ht="21" customHeight="1" x14ac:dyDescent="0.25">
      <c r="A5" s="3" t="s">
        <v>23</v>
      </c>
    </row>
    <row r="6" spans="1:14" ht="24" customHeight="1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J6" s="4" t="s">
        <v>32</v>
      </c>
      <c r="K6" s="5">
        <f>COUNT(A7:A41)</f>
        <v>0</v>
      </c>
      <c r="L6" s="6" t="s">
        <v>33</v>
      </c>
    </row>
    <row r="7" spans="1:14" ht="21" customHeight="1" x14ac:dyDescent="0.25">
      <c r="A7" s="7"/>
      <c r="B7" s="7"/>
      <c r="C7" s="8" t="str">
        <f t="shared" ref="C7:C41" si="0">IF(OR(A7="",B7=""),"",A7^2)</f>
        <v/>
      </c>
      <c r="D7" s="8" t="str">
        <f t="shared" ref="D7:D41" si="1">IF(OR(A7="",B7=""),"",A7*B7)</f>
        <v/>
      </c>
      <c r="E7" s="8" t="str">
        <f t="shared" ref="E7:E41" si="2">IF(OR(A7="",B7=""),"",$K$7*A7+$K$8)</f>
        <v/>
      </c>
      <c r="F7" s="8" t="str">
        <f t="shared" ref="F7:F41" si="3">IF(E7="","",B7-E7)</f>
        <v/>
      </c>
      <c r="G7" s="8" t="str">
        <f t="shared" ref="G7:G41" si="4">IF(F7="","",F7^2)</f>
        <v/>
      </c>
      <c r="H7" s="9"/>
      <c r="J7" s="4" t="s">
        <v>34</v>
      </c>
      <c r="K7" s="5" t="e">
        <f>(K6*D42-A42*B42)/(K6*C42-A42^2)</f>
        <v>#VALUE!</v>
      </c>
      <c r="L7" s="6" t="s">
        <v>35</v>
      </c>
    </row>
    <row r="8" spans="1:14" ht="21" customHeight="1" x14ac:dyDescent="0.25">
      <c r="A8" s="7"/>
      <c r="B8" s="7"/>
      <c r="C8" s="8" t="str">
        <f t="shared" si="0"/>
        <v/>
      </c>
      <c r="D8" s="8" t="str">
        <f t="shared" si="1"/>
        <v/>
      </c>
      <c r="E8" s="8" t="str">
        <f t="shared" si="2"/>
        <v/>
      </c>
      <c r="F8" s="8" t="str">
        <f t="shared" si="3"/>
        <v/>
      </c>
      <c r="G8" s="8" t="str">
        <f t="shared" si="4"/>
        <v/>
      </c>
      <c r="H8" s="9"/>
      <c r="J8" s="4" t="s">
        <v>36</v>
      </c>
      <c r="K8" s="5" t="e">
        <f>(B42-K7*A42)/K6</f>
        <v>#VALUE!</v>
      </c>
      <c r="L8" s="6" t="s">
        <v>37</v>
      </c>
    </row>
    <row r="9" spans="1:14" ht="21" customHeight="1" x14ac:dyDescent="0.25">
      <c r="A9" s="7"/>
      <c r="B9" s="7"/>
      <c r="C9" s="8" t="str">
        <f t="shared" si="0"/>
        <v/>
      </c>
      <c r="D9" s="8" t="str">
        <f t="shared" si="1"/>
        <v/>
      </c>
      <c r="E9" s="8" t="str">
        <f t="shared" si="2"/>
        <v/>
      </c>
      <c r="F9" s="8" t="str">
        <f t="shared" si="3"/>
        <v/>
      </c>
      <c r="G9" s="8" t="str">
        <f t="shared" si="4"/>
        <v/>
      </c>
      <c r="H9" s="9"/>
      <c r="J9" s="4" t="s">
        <v>38</v>
      </c>
      <c r="K9" s="5" t="str">
        <f>IF(K6&lt;2,"",1-SUM(G7:G41)/DEVSQ(B7:B41))</f>
        <v/>
      </c>
      <c r="L9" s="6" t="s">
        <v>39</v>
      </c>
    </row>
    <row r="10" spans="1:14" ht="21" customHeight="1" x14ac:dyDescent="0.25">
      <c r="A10" s="7"/>
      <c r="B10" s="7"/>
      <c r="C10" s="8" t="str">
        <f t="shared" si="0"/>
        <v/>
      </c>
      <c r="D10" s="8" t="str">
        <f t="shared" si="1"/>
        <v/>
      </c>
      <c r="E10" s="8" t="str">
        <f t="shared" si="2"/>
        <v/>
      </c>
      <c r="F10" s="8" t="str">
        <f t="shared" si="3"/>
        <v/>
      </c>
      <c r="G10" s="8" t="str">
        <f t="shared" si="4"/>
        <v/>
      </c>
      <c r="H10" s="9"/>
      <c r="J10" s="4" t="s">
        <v>40</v>
      </c>
      <c r="K10" s="5" t="str">
        <f>IF(K6=0,"",SUM(G7:G41)/K6)</f>
        <v/>
      </c>
      <c r="L10" s="6" t="s">
        <v>41</v>
      </c>
    </row>
    <row r="11" spans="1:14" ht="21" customHeight="1" x14ac:dyDescent="0.25">
      <c r="A11" s="7"/>
      <c r="B11" s="7"/>
      <c r="C11" s="8" t="str">
        <f t="shared" si="0"/>
        <v/>
      </c>
      <c r="D11" s="8" t="str">
        <f t="shared" si="1"/>
        <v/>
      </c>
      <c r="E11" s="8" t="str">
        <f t="shared" si="2"/>
        <v/>
      </c>
      <c r="F11" s="8" t="str">
        <f t="shared" si="3"/>
        <v/>
      </c>
      <c r="G11" s="8" t="str">
        <f t="shared" si="4"/>
        <v/>
      </c>
      <c r="H11" s="9"/>
    </row>
    <row r="12" spans="1:14" ht="21" customHeight="1" x14ac:dyDescent="0.25">
      <c r="A12" s="7"/>
      <c r="B12" s="7"/>
      <c r="C12" s="8" t="str">
        <f t="shared" si="0"/>
        <v/>
      </c>
      <c r="D12" s="8" t="str">
        <f t="shared" si="1"/>
        <v/>
      </c>
      <c r="E12" s="8" t="str">
        <f t="shared" si="2"/>
        <v/>
      </c>
      <c r="F12" s="8" t="str">
        <f t="shared" si="3"/>
        <v/>
      </c>
      <c r="G12" s="8" t="str">
        <f t="shared" si="4"/>
        <v/>
      </c>
      <c r="H12" s="9"/>
      <c r="J12" s="1" t="s">
        <v>42</v>
      </c>
    </row>
    <row r="13" spans="1:14" ht="21" customHeight="1" x14ac:dyDescent="0.25">
      <c r="A13" s="7"/>
      <c r="B13" s="7"/>
      <c r="C13" s="8" t="str">
        <f t="shared" si="0"/>
        <v/>
      </c>
      <c r="D13" s="8" t="str">
        <f t="shared" si="1"/>
        <v/>
      </c>
      <c r="E13" s="8" t="str">
        <f t="shared" si="2"/>
        <v/>
      </c>
      <c r="F13" s="8" t="str">
        <f t="shared" si="3"/>
        <v/>
      </c>
      <c r="G13" s="8" t="str">
        <f t="shared" si="4"/>
        <v/>
      </c>
      <c r="H13" s="9"/>
      <c r="J13" s="4" t="s">
        <v>43</v>
      </c>
      <c r="K13" s="5" t="e">
        <f>SLOPE(B7:B41,A7:A41)</f>
        <v>#DIV/0!</v>
      </c>
    </row>
    <row r="14" spans="1:14" ht="21" customHeight="1" x14ac:dyDescent="0.25">
      <c r="A14" s="7"/>
      <c r="B14" s="7"/>
      <c r="C14" s="8" t="str">
        <f t="shared" si="0"/>
        <v/>
      </c>
      <c r="D14" s="8" t="str">
        <f t="shared" si="1"/>
        <v/>
      </c>
      <c r="E14" s="8" t="str">
        <f t="shared" si="2"/>
        <v/>
      </c>
      <c r="F14" s="8" t="str">
        <f t="shared" si="3"/>
        <v/>
      </c>
      <c r="G14" s="8" t="str">
        <f t="shared" si="4"/>
        <v/>
      </c>
      <c r="H14" s="9"/>
      <c r="J14" s="4" t="s">
        <v>44</v>
      </c>
      <c r="K14" s="5" t="e">
        <f>INTERCEPT(B7:B41,A7:A41)</f>
        <v>#DIV/0!</v>
      </c>
    </row>
    <row r="15" spans="1:14" ht="21" customHeight="1" x14ac:dyDescent="0.25">
      <c r="A15" s="7"/>
      <c r="B15" s="7"/>
      <c r="C15" s="8" t="str">
        <f t="shared" si="0"/>
        <v/>
      </c>
      <c r="D15" s="8" t="str">
        <f t="shared" si="1"/>
        <v/>
      </c>
      <c r="E15" s="8" t="str">
        <f t="shared" si="2"/>
        <v/>
      </c>
      <c r="F15" s="8" t="str">
        <f t="shared" si="3"/>
        <v/>
      </c>
      <c r="G15" s="8" t="str">
        <f t="shared" si="4"/>
        <v/>
      </c>
      <c r="H15" s="9"/>
      <c r="J15" s="4" t="s">
        <v>45</v>
      </c>
      <c r="K15" s="5" t="e">
        <f>RSQ(B7:B41,E7:E41)</f>
        <v>#DIV/0!</v>
      </c>
    </row>
    <row r="16" spans="1:14" ht="21" customHeight="1" x14ac:dyDescent="0.25">
      <c r="A16" s="7"/>
      <c r="B16" s="7"/>
      <c r="C16" s="8" t="str">
        <f t="shared" si="0"/>
        <v/>
      </c>
      <c r="D16" s="8" t="str">
        <f t="shared" si="1"/>
        <v/>
      </c>
      <c r="E16" s="8" t="str">
        <f t="shared" si="2"/>
        <v/>
      </c>
      <c r="F16" s="8" t="str">
        <f t="shared" si="3"/>
        <v/>
      </c>
      <c r="G16" s="8" t="str">
        <f t="shared" si="4"/>
        <v/>
      </c>
      <c r="H16" s="9"/>
    </row>
    <row r="17" spans="1:11" ht="21" customHeight="1" x14ac:dyDescent="0.25">
      <c r="A17" s="7"/>
      <c r="B17" s="7"/>
      <c r="C17" s="8" t="str">
        <f t="shared" si="0"/>
        <v/>
      </c>
      <c r="D17" s="8" t="str">
        <f t="shared" si="1"/>
        <v/>
      </c>
      <c r="E17" s="8" t="str">
        <f t="shared" si="2"/>
        <v/>
      </c>
      <c r="F17" s="8" t="str">
        <f t="shared" si="3"/>
        <v/>
      </c>
      <c r="G17" s="8" t="str">
        <f t="shared" si="4"/>
        <v/>
      </c>
      <c r="H17" s="9"/>
    </row>
    <row r="18" spans="1:11" ht="21" customHeight="1" x14ac:dyDescent="0.25">
      <c r="A18" s="7"/>
      <c r="B18" s="7"/>
      <c r="C18" s="8" t="str">
        <f t="shared" si="0"/>
        <v/>
      </c>
      <c r="D18" s="8" t="str">
        <f t="shared" si="1"/>
        <v/>
      </c>
      <c r="E18" s="8" t="str">
        <f t="shared" si="2"/>
        <v/>
      </c>
      <c r="F18" s="8" t="str">
        <f t="shared" si="3"/>
        <v/>
      </c>
      <c r="G18" s="8" t="str">
        <f t="shared" si="4"/>
        <v/>
      </c>
      <c r="H18" s="9"/>
      <c r="J18" s="1" t="s">
        <v>46</v>
      </c>
      <c r="K18" s="10" t="str">
        <f>IF(K6&lt;2,"","y = "&amp;TEXT(K7,"0.000000")&amp;" x + "&amp;TEXT(K8,"0.000000"))</f>
        <v/>
      </c>
    </row>
    <row r="19" spans="1:11" ht="21" customHeight="1" x14ac:dyDescent="0.25">
      <c r="A19" s="7"/>
      <c r="B19" s="7"/>
      <c r="C19" s="8" t="str">
        <f t="shared" si="0"/>
        <v/>
      </c>
      <c r="D19" s="8" t="str">
        <f t="shared" si="1"/>
        <v/>
      </c>
      <c r="E19" s="8" t="str">
        <f t="shared" si="2"/>
        <v/>
      </c>
      <c r="F19" s="8" t="str">
        <f t="shared" si="3"/>
        <v/>
      </c>
      <c r="G19" s="8" t="str">
        <f t="shared" si="4"/>
        <v/>
      </c>
      <c r="H19" s="9"/>
    </row>
    <row r="20" spans="1:11" ht="21" customHeight="1" x14ac:dyDescent="0.25">
      <c r="A20" s="7"/>
      <c r="B20" s="7"/>
      <c r="C20" s="8" t="str">
        <f t="shared" si="0"/>
        <v/>
      </c>
      <c r="D20" s="8" t="str">
        <f t="shared" si="1"/>
        <v/>
      </c>
      <c r="E20" s="8" t="str">
        <f t="shared" si="2"/>
        <v/>
      </c>
      <c r="F20" s="8" t="str">
        <f t="shared" si="3"/>
        <v/>
      </c>
      <c r="G20" s="8" t="str">
        <f t="shared" si="4"/>
        <v/>
      </c>
      <c r="H20" s="9"/>
    </row>
    <row r="21" spans="1:11" ht="21" customHeight="1" x14ac:dyDescent="0.25">
      <c r="A21" s="7"/>
      <c r="B21" s="7"/>
      <c r="C21" s="8" t="str">
        <f t="shared" si="0"/>
        <v/>
      </c>
      <c r="D21" s="8" t="str">
        <f t="shared" si="1"/>
        <v/>
      </c>
      <c r="E21" s="8" t="str">
        <f t="shared" si="2"/>
        <v/>
      </c>
      <c r="F21" s="8" t="str">
        <f t="shared" si="3"/>
        <v/>
      </c>
      <c r="G21" s="8" t="str">
        <f t="shared" si="4"/>
        <v/>
      </c>
      <c r="H21" s="9"/>
    </row>
    <row r="22" spans="1:11" ht="21" customHeight="1" x14ac:dyDescent="0.25">
      <c r="A22" s="7"/>
      <c r="B22" s="7"/>
      <c r="C22" s="8" t="str">
        <f t="shared" si="0"/>
        <v/>
      </c>
      <c r="D22" s="8" t="str">
        <f t="shared" si="1"/>
        <v/>
      </c>
      <c r="E22" s="8" t="str">
        <f t="shared" si="2"/>
        <v/>
      </c>
      <c r="F22" s="8" t="str">
        <f t="shared" si="3"/>
        <v/>
      </c>
      <c r="G22" s="8" t="str">
        <f t="shared" si="4"/>
        <v/>
      </c>
      <c r="H22" s="9"/>
    </row>
    <row r="23" spans="1:11" ht="21" customHeight="1" x14ac:dyDescent="0.25">
      <c r="A23" s="7"/>
      <c r="B23" s="7"/>
      <c r="C23" s="8" t="str">
        <f t="shared" si="0"/>
        <v/>
      </c>
      <c r="D23" s="8" t="str">
        <f t="shared" si="1"/>
        <v/>
      </c>
      <c r="E23" s="8" t="str">
        <f t="shared" si="2"/>
        <v/>
      </c>
      <c r="F23" s="8" t="str">
        <f t="shared" si="3"/>
        <v/>
      </c>
      <c r="G23" s="8" t="str">
        <f t="shared" si="4"/>
        <v/>
      </c>
      <c r="H23" s="9"/>
    </row>
    <row r="24" spans="1:11" ht="21" customHeight="1" x14ac:dyDescent="0.25">
      <c r="A24" s="7"/>
      <c r="B24" s="7"/>
      <c r="C24" s="8" t="str">
        <f t="shared" si="0"/>
        <v/>
      </c>
      <c r="D24" s="8" t="str">
        <f t="shared" si="1"/>
        <v/>
      </c>
      <c r="E24" s="8" t="str">
        <f t="shared" si="2"/>
        <v/>
      </c>
      <c r="F24" s="8" t="str">
        <f t="shared" si="3"/>
        <v/>
      </c>
      <c r="G24" s="8" t="str">
        <f t="shared" si="4"/>
        <v/>
      </c>
      <c r="H24" s="9"/>
    </row>
    <row r="25" spans="1:11" ht="21" customHeight="1" x14ac:dyDescent="0.25">
      <c r="A25" s="7"/>
      <c r="B25" s="7"/>
      <c r="C25" s="8" t="str">
        <f t="shared" si="0"/>
        <v/>
      </c>
      <c r="D25" s="8" t="str">
        <f t="shared" si="1"/>
        <v/>
      </c>
      <c r="E25" s="8" t="str">
        <f t="shared" si="2"/>
        <v/>
      </c>
      <c r="F25" s="8" t="str">
        <f t="shared" si="3"/>
        <v/>
      </c>
      <c r="G25" s="8" t="str">
        <f t="shared" si="4"/>
        <v/>
      </c>
      <c r="H25" s="9"/>
    </row>
    <row r="26" spans="1:11" ht="21" customHeight="1" x14ac:dyDescent="0.25">
      <c r="A26" s="7"/>
      <c r="B26" s="7"/>
      <c r="C26" s="8" t="str">
        <f t="shared" si="0"/>
        <v/>
      </c>
      <c r="D26" s="8" t="str">
        <f t="shared" si="1"/>
        <v/>
      </c>
      <c r="E26" s="8" t="str">
        <f t="shared" si="2"/>
        <v/>
      </c>
      <c r="F26" s="8" t="str">
        <f t="shared" si="3"/>
        <v/>
      </c>
      <c r="G26" s="8" t="str">
        <f t="shared" si="4"/>
        <v/>
      </c>
      <c r="H26" s="9"/>
    </row>
    <row r="27" spans="1:11" ht="21" customHeight="1" x14ac:dyDescent="0.25">
      <c r="A27" s="7"/>
      <c r="B27" s="7"/>
      <c r="C27" s="8" t="str">
        <f t="shared" si="0"/>
        <v/>
      </c>
      <c r="D27" s="8" t="str">
        <f t="shared" si="1"/>
        <v/>
      </c>
      <c r="E27" s="8" t="str">
        <f t="shared" si="2"/>
        <v/>
      </c>
      <c r="F27" s="8" t="str">
        <f t="shared" si="3"/>
        <v/>
      </c>
      <c r="G27" s="8" t="str">
        <f t="shared" si="4"/>
        <v/>
      </c>
      <c r="H27" s="9"/>
    </row>
    <row r="28" spans="1:11" ht="21" customHeight="1" x14ac:dyDescent="0.25">
      <c r="A28" s="7"/>
      <c r="B28" s="7"/>
      <c r="C28" s="8" t="str">
        <f t="shared" si="0"/>
        <v/>
      </c>
      <c r="D28" s="8" t="str">
        <f t="shared" si="1"/>
        <v/>
      </c>
      <c r="E28" s="8" t="str">
        <f t="shared" si="2"/>
        <v/>
      </c>
      <c r="F28" s="8" t="str">
        <f t="shared" si="3"/>
        <v/>
      </c>
      <c r="G28" s="8" t="str">
        <f t="shared" si="4"/>
        <v/>
      </c>
      <c r="H28" s="9"/>
    </row>
    <row r="29" spans="1:11" ht="21" customHeight="1" x14ac:dyDescent="0.25">
      <c r="A29" s="7"/>
      <c r="B29" s="7"/>
      <c r="C29" s="8" t="str">
        <f t="shared" si="0"/>
        <v/>
      </c>
      <c r="D29" s="8" t="str">
        <f t="shared" si="1"/>
        <v/>
      </c>
      <c r="E29" s="8" t="str">
        <f t="shared" si="2"/>
        <v/>
      </c>
      <c r="F29" s="8" t="str">
        <f t="shared" si="3"/>
        <v/>
      </c>
      <c r="G29" s="8" t="str">
        <f t="shared" si="4"/>
        <v/>
      </c>
      <c r="H29" s="9"/>
    </row>
    <row r="30" spans="1:11" ht="21" customHeight="1" x14ac:dyDescent="0.25">
      <c r="A30" s="7"/>
      <c r="B30" s="7"/>
      <c r="C30" s="8" t="str">
        <f t="shared" si="0"/>
        <v/>
      </c>
      <c r="D30" s="8" t="str">
        <f t="shared" si="1"/>
        <v/>
      </c>
      <c r="E30" s="8" t="str">
        <f t="shared" si="2"/>
        <v/>
      </c>
      <c r="F30" s="8" t="str">
        <f t="shared" si="3"/>
        <v/>
      </c>
      <c r="G30" s="8" t="str">
        <f t="shared" si="4"/>
        <v/>
      </c>
      <c r="H30" s="9"/>
    </row>
    <row r="31" spans="1:11" ht="21" customHeight="1" x14ac:dyDescent="0.25">
      <c r="A31" s="7"/>
      <c r="B31" s="7"/>
      <c r="C31" s="8" t="str">
        <f t="shared" si="0"/>
        <v/>
      </c>
      <c r="D31" s="8" t="str">
        <f t="shared" si="1"/>
        <v/>
      </c>
      <c r="E31" s="8" t="str">
        <f t="shared" si="2"/>
        <v/>
      </c>
      <c r="F31" s="8" t="str">
        <f t="shared" si="3"/>
        <v/>
      </c>
      <c r="G31" s="8" t="str">
        <f t="shared" si="4"/>
        <v/>
      </c>
      <c r="H31" s="9"/>
    </row>
    <row r="32" spans="1:11" ht="21" customHeight="1" x14ac:dyDescent="0.25">
      <c r="A32" s="7"/>
      <c r="B32" s="7"/>
      <c r="C32" s="8" t="str">
        <f t="shared" si="0"/>
        <v/>
      </c>
      <c r="D32" s="8" t="str">
        <f t="shared" si="1"/>
        <v/>
      </c>
      <c r="E32" s="8" t="str">
        <f t="shared" si="2"/>
        <v/>
      </c>
      <c r="F32" s="8" t="str">
        <f t="shared" si="3"/>
        <v/>
      </c>
      <c r="G32" s="8" t="str">
        <f t="shared" si="4"/>
        <v/>
      </c>
      <c r="H32" s="9"/>
    </row>
    <row r="33" spans="1:14" ht="21" customHeight="1" x14ac:dyDescent="0.25">
      <c r="A33" s="7"/>
      <c r="B33" s="7"/>
      <c r="C33" s="8" t="str">
        <f t="shared" si="0"/>
        <v/>
      </c>
      <c r="D33" s="8" t="str">
        <f t="shared" si="1"/>
        <v/>
      </c>
      <c r="E33" s="8" t="str">
        <f t="shared" si="2"/>
        <v/>
      </c>
      <c r="F33" s="8" t="str">
        <f t="shared" si="3"/>
        <v/>
      </c>
      <c r="G33" s="8" t="str">
        <f t="shared" si="4"/>
        <v/>
      </c>
      <c r="H33" s="9"/>
    </row>
    <row r="34" spans="1:14" ht="21" customHeight="1" x14ac:dyDescent="0.25">
      <c r="A34" s="7"/>
      <c r="B34" s="7"/>
      <c r="C34" s="8" t="str">
        <f t="shared" si="0"/>
        <v/>
      </c>
      <c r="D34" s="8" t="str">
        <f t="shared" si="1"/>
        <v/>
      </c>
      <c r="E34" s="8" t="str">
        <f t="shared" si="2"/>
        <v/>
      </c>
      <c r="F34" s="8" t="str">
        <f t="shared" si="3"/>
        <v/>
      </c>
      <c r="G34" s="8" t="str">
        <f t="shared" si="4"/>
        <v/>
      </c>
      <c r="H34" s="9"/>
    </row>
    <row r="35" spans="1:14" ht="21" customHeight="1" x14ac:dyDescent="0.25">
      <c r="A35" s="7"/>
      <c r="B35" s="7"/>
      <c r="C35" s="8" t="str">
        <f t="shared" si="0"/>
        <v/>
      </c>
      <c r="D35" s="8" t="str">
        <f t="shared" si="1"/>
        <v/>
      </c>
      <c r="E35" s="8" t="str">
        <f t="shared" si="2"/>
        <v/>
      </c>
      <c r="F35" s="8" t="str">
        <f t="shared" si="3"/>
        <v/>
      </c>
      <c r="G35" s="8" t="str">
        <f t="shared" si="4"/>
        <v/>
      </c>
      <c r="H35" s="9"/>
    </row>
    <row r="36" spans="1:14" ht="21" customHeight="1" x14ac:dyDescent="0.25">
      <c r="A36" s="7"/>
      <c r="B36" s="7"/>
      <c r="C36" s="8" t="str">
        <f t="shared" si="0"/>
        <v/>
      </c>
      <c r="D36" s="8" t="str">
        <f t="shared" si="1"/>
        <v/>
      </c>
      <c r="E36" s="8" t="str">
        <f t="shared" si="2"/>
        <v/>
      </c>
      <c r="F36" s="8" t="str">
        <f t="shared" si="3"/>
        <v/>
      </c>
      <c r="G36" s="8" t="str">
        <f t="shared" si="4"/>
        <v/>
      </c>
      <c r="H36" s="9"/>
    </row>
    <row r="37" spans="1:14" ht="21" customHeight="1" x14ac:dyDescent="0.25">
      <c r="A37" s="7"/>
      <c r="B37" s="7"/>
      <c r="C37" s="8" t="str">
        <f t="shared" si="0"/>
        <v/>
      </c>
      <c r="D37" s="8" t="str">
        <f t="shared" si="1"/>
        <v/>
      </c>
      <c r="E37" s="8" t="str">
        <f t="shared" si="2"/>
        <v/>
      </c>
      <c r="F37" s="8" t="str">
        <f t="shared" si="3"/>
        <v/>
      </c>
      <c r="G37" s="8" t="str">
        <f t="shared" si="4"/>
        <v/>
      </c>
      <c r="H37" s="9"/>
    </row>
    <row r="38" spans="1:14" ht="21" customHeight="1" x14ac:dyDescent="0.25">
      <c r="A38" s="7"/>
      <c r="B38" s="7"/>
      <c r="C38" s="8" t="str">
        <f t="shared" si="0"/>
        <v/>
      </c>
      <c r="D38" s="8" t="str">
        <f t="shared" si="1"/>
        <v/>
      </c>
      <c r="E38" s="8" t="str">
        <f t="shared" si="2"/>
        <v/>
      </c>
      <c r="F38" s="8" t="str">
        <f t="shared" si="3"/>
        <v/>
      </c>
      <c r="G38" s="8" t="str">
        <f t="shared" si="4"/>
        <v/>
      </c>
      <c r="H38" s="9"/>
    </row>
    <row r="39" spans="1:14" ht="21" customHeight="1" x14ac:dyDescent="0.25">
      <c r="A39" s="7"/>
      <c r="B39" s="7"/>
      <c r="C39" s="8" t="str">
        <f t="shared" si="0"/>
        <v/>
      </c>
      <c r="D39" s="8" t="str">
        <f t="shared" si="1"/>
        <v/>
      </c>
      <c r="E39" s="8" t="str">
        <f t="shared" si="2"/>
        <v/>
      </c>
      <c r="F39" s="8" t="str">
        <f t="shared" si="3"/>
        <v/>
      </c>
      <c r="G39" s="8" t="str">
        <f t="shared" si="4"/>
        <v/>
      </c>
      <c r="H39" s="9"/>
    </row>
    <row r="40" spans="1:14" ht="21" customHeight="1" x14ac:dyDescent="0.25">
      <c r="A40" s="7"/>
      <c r="B40" s="7"/>
      <c r="C40" s="8" t="str">
        <f t="shared" si="0"/>
        <v/>
      </c>
      <c r="D40" s="8" t="str">
        <f t="shared" si="1"/>
        <v/>
      </c>
      <c r="E40" s="8" t="str">
        <f t="shared" si="2"/>
        <v/>
      </c>
      <c r="F40" s="8" t="str">
        <f t="shared" si="3"/>
        <v/>
      </c>
      <c r="G40" s="8" t="str">
        <f t="shared" si="4"/>
        <v/>
      </c>
      <c r="H40" s="9"/>
    </row>
    <row r="41" spans="1:14" ht="21" customHeight="1" x14ac:dyDescent="0.25">
      <c r="A41" s="7"/>
      <c r="B41" s="7"/>
      <c r="C41" s="8" t="str">
        <f t="shared" si="0"/>
        <v/>
      </c>
      <c r="D41" s="8" t="str">
        <f t="shared" si="1"/>
        <v/>
      </c>
      <c r="E41" s="8" t="str">
        <f t="shared" si="2"/>
        <v/>
      </c>
      <c r="F41" s="8" t="str">
        <f t="shared" si="3"/>
        <v/>
      </c>
      <c r="G41" s="8" t="str">
        <f t="shared" si="4"/>
        <v/>
      </c>
      <c r="H41" s="9"/>
    </row>
    <row r="42" spans="1:14" ht="21" customHeight="1" x14ac:dyDescent="0.25">
      <c r="A42" s="11" t="s">
        <v>47</v>
      </c>
      <c r="B42" s="12">
        <f t="shared" ref="B42:G42" si="5">SUM(B7:B41)</f>
        <v>0</v>
      </c>
      <c r="C42" s="12">
        <f t="shared" si="5"/>
        <v>0</v>
      </c>
      <c r="D42" s="12">
        <f t="shared" si="5"/>
        <v>0</v>
      </c>
      <c r="E42" s="12">
        <f t="shared" si="5"/>
        <v>0</v>
      </c>
      <c r="F42" s="12">
        <f t="shared" si="5"/>
        <v>0</v>
      </c>
      <c r="G42" s="12">
        <f t="shared" si="5"/>
        <v>0</v>
      </c>
      <c r="H42" s="13"/>
      <c r="I42" s="13"/>
      <c r="J42" s="13"/>
      <c r="K42" s="13"/>
      <c r="L42" s="13"/>
      <c r="M42" s="13"/>
      <c r="N42" s="13"/>
    </row>
    <row r="43" spans="1:14" ht="21" customHeight="1" x14ac:dyDescent="0.25"/>
    <row r="44" spans="1:14" ht="21" customHeight="1" x14ac:dyDescent="0.25"/>
  </sheetData>
  <mergeCells count="3">
    <mergeCell ref="A4:H4"/>
    <mergeCell ref="A2:N2"/>
    <mergeCell ref="A1:N1"/>
  </mergeCell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4"/>
  <sheetViews>
    <sheetView tabSelected="1" workbookViewId="0">
      <pane ySplit="6" topLeftCell="A7" activePane="bottomLeft" state="frozen"/>
      <selection pane="bottomLeft" activeCell="M16" sqref="M16"/>
    </sheetView>
  </sheetViews>
  <sheetFormatPr defaultRowHeight="15" x14ac:dyDescent="0.25"/>
  <cols>
    <col min="1" max="1" width="10" customWidth="1"/>
    <col min="2" max="7" width="12" customWidth="1"/>
    <col min="8" max="8" width="14" customWidth="1"/>
    <col min="9" max="10" width="12" customWidth="1"/>
    <col min="12" max="12" width="16" customWidth="1"/>
    <col min="13" max="18" width="14" customWidth="1"/>
  </cols>
  <sheetData>
    <row r="1" spans="1:18" ht="24" customHeight="1" x14ac:dyDescent="0.25">
      <c r="A1" s="18" t="s">
        <v>48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8" ht="24" customHeight="1" x14ac:dyDescent="0.25">
      <c r="A2" s="24" t="s">
        <v>49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8" ht="21" customHeight="1" x14ac:dyDescent="0.25"/>
    <row r="4" spans="1:18" ht="21" customHeight="1" x14ac:dyDescent="0.25">
      <c r="A4" s="19" t="s">
        <v>21</v>
      </c>
      <c r="B4" s="19"/>
      <c r="C4" s="19"/>
      <c r="D4" s="19"/>
      <c r="E4" s="19"/>
      <c r="F4" s="19"/>
      <c r="G4" s="19"/>
      <c r="H4" s="19"/>
      <c r="L4" s="19" t="s">
        <v>50</v>
      </c>
      <c r="M4" s="19"/>
      <c r="N4" s="19"/>
      <c r="O4" s="19"/>
      <c r="P4" s="19"/>
      <c r="Q4" s="19"/>
      <c r="R4" s="19"/>
    </row>
    <row r="5" spans="1:18" ht="21" customHeight="1" x14ac:dyDescent="0.25">
      <c r="A5" s="3" t="s">
        <v>23</v>
      </c>
      <c r="L5" s="14" t="s">
        <v>51</v>
      </c>
      <c r="P5" s="14" t="s">
        <v>52</v>
      </c>
    </row>
    <row r="6" spans="1:18" ht="24" customHeight="1" x14ac:dyDescent="0.25">
      <c r="A6" s="2" t="s">
        <v>24</v>
      </c>
      <c r="B6" s="2" t="s">
        <v>25</v>
      </c>
      <c r="C6" s="2" t="s">
        <v>26</v>
      </c>
      <c r="D6" s="2" t="s">
        <v>53</v>
      </c>
      <c r="E6" s="2" t="s">
        <v>54</v>
      </c>
      <c r="F6" s="2" t="s">
        <v>27</v>
      </c>
      <c r="G6" s="2" t="s">
        <v>55</v>
      </c>
      <c r="H6" s="2" t="s">
        <v>28</v>
      </c>
      <c r="I6" s="2" t="s">
        <v>29</v>
      </c>
      <c r="J6" s="2" t="s">
        <v>30</v>
      </c>
      <c r="L6" s="8">
        <f>C42</f>
        <v>756</v>
      </c>
      <c r="M6" s="8" t="str">
        <f>A42</f>
        <v>SUMA</v>
      </c>
      <c r="N6" s="8">
        <f>COUNTA(A7:A41)</f>
        <v>35</v>
      </c>
      <c r="P6" s="15">
        <f>B42</f>
        <v>102</v>
      </c>
    </row>
    <row r="7" spans="1:18" ht="21" customHeight="1" x14ac:dyDescent="0.25">
      <c r="A7" s="7">
        <v>2</v>
      </c>
      <c r="B7" s="7">
        <v>3</v>
      </c>
      <c r="C7" s="8">
        <f t="shared" ref="C7:C41" si="0">IF(OR(A7="",B7=""),"",A7^2)</f>
        <v>4</v>
      </c>
      <c r="D7" s="8">
        <f t="shared" ref="D7:D41" si="1">IF(OR(A7="",B7=""),"",A7^3)</f>
        <v>8</v>
      </c>
      <c r="E7" s="8">
        <f t="shared" ref="E7:E41" si="2">IF(OR(A7="",B7=""),"",A7^4)</f>
        <v>16</v>
      </c>
      <c r="F7" s="8">
        <f t="shared" ref="F7:F41" si="3">IF(OR(A7="",B7=""),"",A7*B7)</f>
        <v>6</v>
      </c>
      <c r="G7" s="8">
        <f t="shared" ref="G7:G41" si="4">IF(OR(A7="",B7=""),"",C7*B7)</f>
        <v>12</v>
      </c>
      <c r="H7" s="8" t="e">
        <f t="shared" ref="H7:H41" si="5">IF(OR(A7="",B7=""),"",$N$12*A7^2+$N$13*A7+$N$14)</f>
        <v>#VALUE!</v>
      </c>
      <c r="I7" s="8" t="e">
        <f t="shared" ref="I7:I41" si="6">IF(H7="","",B7-H7)</f>
        <v>#VALUE!</v>
      </c>
      <c r="J7" s="8" t="e">
        <f t="shared" ref="J7:J41" si="7">IF(I7="","",I7^2)</f>
        <v>#VALUE!</v>
      </c>
      <c r="L7" s="8">
        <f>D42</f>
        <v>11444</v>
      </c>
      <c r="M7" s="8">
        <f>C42</f>
        <v>756</v>
      </c>
      <c r="N7" s="8" t="str">
        <f>A42</f>
        <v>SUMA</v>
      </c>
      <c r="P7" s="15" t="e">
        <f>F42</f>
        <v>#NAME?</v>
      </c>
    </row>
    <row r="8" spans="1:18" ht="21" customHeight="1" x14ac:dyDescent="0.25">
      <c r="A8" s="7">
        <v>2</v>
      </c>
      <c r="B8" s="7">
        <v>3</v>
      </c>
      <c r="C8" s="8">
        <f t="shared" si="0"/>
        <v>4</v>
      </c>
      <c r="D8" s="8">
        <f t="shared" si="1"/>
        <v>8</v>
      </c>
      <c r="E8" s="8">
        <f t="shared" si="2"/>
        <v>16</v>
      </c>
      <c r="F8" s="8">
        <f t="shared" si="3"/>
        <v>6</v>
      </c>
      <c r="G8" s="8">
        <f t="shared" si="4"/>
        <v>12</v>
      </c>
      <c r="H8" s="8" t="e">
        <f t="shared" si="5"/>
        <v>#VALUE!</v>
      </c>
      <c r="I8" s="8" t="e">
        <f t="shared" si="6"/>
        <v>#VALUE!</v>
      </c>
      <c r="J8" s="8" t="e">
        <f t="shared" si="7"/>
        <v>#VALUE!</v>
      </c>
      <c r="L8" s="8">
        <f>E42</f>
        <v>236604</v>
      </c>
      <c r="M8" s="8">
        <f>D42</f>
        <v>11444</v>
      </c>
      <c r="N8" s="8">
        <f>C42</f>
        <v>756</v>
      </c>
      <c r="P8" s="15">
        <f>G42</f>
        <v>2268</v>
      </c>
    </row>
    <row r="9" spans="1:18" ht="21" customHeight="1" x14ac:dyDescent="0.25">
      <c r="A9" s="7">
        <v>2</v>
      </c>
      <c r="B9" s="7">
        <v>3</v>
      </c>
      <c r="C9" s="8">
        <f t="shared" si="0"/>
        <v>4</v>
      </c>
      <c r="D9" s="8">
        <f t="shared" si="1"/>
        <v>8</v>
      </c>
      <c r="E9" s="8">
        <f t="shared" si="2"/>
        <v>16</v>
      </c>
      <c r="F9" s="8">
        <f t="shared" si="3"/>
        <v>6</v>
      </c>
      <c r="G9" s="8">
        <f t="shared" si="4"/>
        <v>12</v>
      </c>
      <c r="H9" s="8" t="e">
        <f t="shared" si="5"/>
        <v>#VALUE!</v>
      </c>
      <c r="I9" s="8" t="e">
        <f t="shared" si="6"/>
        <v>#VALUE!</v>
      </c>
      <c r="J9" s="8" t="e">
        <f t="shared" si="7"/>
        <v>#VALUE!</v>
      </c>
    </row>
    <row r="10" spans="1:18" ht="21" customHeight="1" x14ac:dyDescent="0.25">
      <c r="A10" s="7">
        <v>2</v>
      </c>
      <c r="B10" s="7">
        <v>3</v>
      </c>
      <c r="C10" s="8">
        <f t="shared" si="0"/>
        <v>4</v>
      </c>
      <c r="D10" s="8">
        <f t="shared" si="1"/>
        <v>8</v>
      </c>
      <c r="E10" s="8">
        <f t="shared" si="2"/>
        <v>16</v>
      </c>
      <c r="F10" s="8">
        <f t="shared" si="3"/>
        <v>6</v>
      </c>
      <c r="G10" s="8">
        <f t="shared" si="4"/>
        <v>12</v>
      </c>
      <c r="H10" s="8" t="e">
        <f t="shared" si="5"/>
        <v>#VALUE!</v>
      </c>
      <c r="I10" s="8" t="e">
        <f t="shared" si="6"/>
        <v>#VALUE!</v>
      </c>
      <c r="J10" s="8" t="e">
        <f t="shared" si="7"/>
        <v>#VALUE!</v>
      </c>
    </row>
    <row r="11" spans="1:18" ht="21" customHeight="1" x14ac:dyDescent="0.25">
      <c r="A11" s="7">
        <v>2</v>
      </c>
      <c r="B11" s="7"/>
      <c r="C11" s="8" t="str">
        <f t="shared" si="0"/>
        <v/>
      </c>
      <c r="D11" s="8" t="str">
        <f t="shared" si="1"/>
        <v/>
      </c>
      <c r="E11" s="8" t="str">
        <f t="shared" si="2"/>
        <v/>
      </c>
      <c r="F11" s="8" t="str">
        <f t="shared" si="3"/>
        <v/>
      </c>
      <c r="G11" s="8" t="str">
        <f t="shared" si="4"/>
        <v/>
      </c>
      <c r="H11" s="8" t="str">
        <f t="shared" si="5"/>
        <v/>
      </c>
      <c r="I11" s="8" t="str">
        <f t="shared" si="6"/>
        <v/>
      </c>
      <c r="J11" s="8" t="str">
        <f t="shared" si="7"/>
        <v/>
      </c>
      <c r="N11" s="14" t="s">
        <v>56</v>
      </c>
    </row>
    <row r="12" spans="1:18" ht="21" customHeight="1" x14ac:dyDescent="0.25">
      <c r="A12" s="7">
        <v>2</v>
      </c>
      <c r="B12" s="7">
        <v>3</v>
      </c>
      <c r="C12" s="8">
        <f t="shared" si="0"/>
        <v>4</v>
      </c>
      <c r="D12" s="8">
        <f t="shared" si="1"/>
        <v>8</v>
      </c>
      <c r="E12" s="8">
        <f t="shared" si="2"/>
        <v>16</v>
      </c>
      <c r="F12" s="8">
        <f t="shared" si="3"/>
        <v>6</v>
      </c>
      <c r="G12" s="8">
        <f t="shared" si="4"/>
        <v>12</v>
      </c>
      <c r="H12" s="8" t="e">
        <f t="shared" si="5"/>
        <v>#VALUE!</v>
      </c>
      <c r="I12" s="8" t="e">
        <f t="shared" si="6"/>
        <v>#VALUE!</v>
      </c>
      <c r="J12" s="8" t="e">
        <f t="shared" si="7"/>
        <v>#VALUE!</v>
      </c>
      <c r="K12" s="5" t="e">
        <f>IF(COUNTA(A7:A41)&lt;3,"",1-SUM(J7:J41)/DEVSQ(B7:B41))</f>
        <v>#VALUE!</v>
      </c>
      <c r="L12" s="4" t="s">
        <v>38</v>
      </c>
      <c r="M12" s="4" t="s">
        <v>57</v>
      </c>
      <c r="N12" s="5" t="e">
        <f>IF(COUNTA(A7:A41)&lt;3,"",INDEX(MMULT(MINVERSE(L6:N8),P6:P8),1))</f>
        <v>#VALUE!</v>
      </c>
    </row>
    <row r="13" spans="1:18" ht="21" customHeight="1" x14ac:dyDescent="0.25">
      <c r="A13" s="7">
        <v>22</v>
      </c>
      <c r="B13" s="7">
        <v>3</v>
      </c>
      <c r="C13" s="8">
        <f t="shared" si="0"/>
        <v>484</v>
      </c>
      <c r="D13" s="8">
        <f>IF(OR(A13="",B13=""),"",A13^3)</f>
        <v>10648</v>
      </c>
      <c r="E13" s="8">
        <f t="shared" si="2"/>
        <v>234256</v>
      </c>
      <c r="F13" s="8" t="e" cm="1">
        <f t="array" ref="F13">IF(OR(A13="",B13=""),"",A13*J7B13)</f>
        <v>#NAME?</v>
      </c>
      <c r="G13" s="8">
        <f t="shared" si="4"/>
        <v>1452</v>
      </c>
      <c r="H13" s="8" t="e">
        <f t="shared" si="5"/>
        <v>#VALUE!</v>
      </c>
      <c r="I13" s="8" t="e">
        <f t="shared" si="6"/>
        <v>#VALUE!</v>
      </c>
      <c r="J13" s="8" t="e">
        <f t="shared" si="7"/>
        <v>#VALUE!</v>
      </c>
      <c r="K13" s="5" t="e">
        <f>IF(COUNTA(A7:A41)=0,"",SUM(J7:J41)/COUNTA(A7:A41))</f>
        <v>#VALUE!</v>
      </c>
      <c r="L13" s="4" t="s">
        <v>40</v>
      </c>
      <c r="M13" s="4" t="s">
        <v>36</v>
      </c>
      <c r="N13" s="5" t="e">
        <f>IF(COUNTA(A7:A41)&lt;3,"",INDEX(MMULT(MINVERSE(L6:N8),P6:P8),2))</f>
        <v>#VALUE!</v>
      </c>
    </row>
    <row r="14" spans="1:18" ht="21" customHeight="1" x14ac:dyDescent="0.25">
      <c r="A14" s="7">
        <v>3</v>
      </c>
      <c r="B14" s="7">
        <v>3</v>
      </c>
      <c r="C14" s="8">
        <f t="shared" si="0"/>
        <v>9</v>
      </c>
      <c r="D14" s="8">
        <f t="shared" si="1"/>
        <v>27</v>
      </c>
      <c r="E14" s="8">
        <f t="shared" si="2"/>
        <v>81</v>
      </c>
      <c r="F14" s="8">
        <f t="shared" si="3"/>
        <v>9</v>
      </c>
      <c r="G14" s="8">
        <f t="shared" si="4"/>
        <v>27</v>
      </c>
      <c r="H14" s="8" t="e">
        <f t="shared" si="5"/>
        <v>#VALUE!</v>
      </c>
      <c r="I14" s="8" t="e">
        <f t="shared" si="6"/>
        <v>#VALUE!</v>
      </c>
      <c r="J14" s="8" t="e">
        <f t="shared" si="7"/>
        <v>#VALUE!</v>
      </c>
      <c r="K14" s="5">
        <f>COUNTA(A7:A41)</f>
        <v>35</v>
      </c>
      <c r="L14" s="4" t="s">
        <v>32</v>
      </c>
      <c r="M14" s="4" t="s">
        <v>58</v>
      </c>
      <c r="N14" s="5" t="e">
        <f>IF(COUNTA(A7:A41)&lt;3,"",INDEX(MMULT(MINVERSE(L6:N8),P6:P8),3))</f>
        <v>#VALUE!</v>
      </c>
    </row>
    <row r="15" spans="1:18" ht="21" customHeight="1" x14ac:dyDescent="0.25">
      <c r="A15" s="7">
        <v>3</v>
      </c>
      <c r="B15" s="7">
        <v>3</v>
      </c>
      <c r="C15" s="8">
        <f t="shared" si="0"/>
        <v>9</v>
      </c>
      <c r="D15" s="8">
        <f t="shared" si="1"/>
        <v>27</v>
      </c>
      <c r="E15" s="8">
        <f t="shared" si="2"/>
        <v>81</v>
      </c>
      <c r="F15" s="8">
        <f t="shared" si="3"/>
        <v>9</v>
      </c>
      <c r="G15" s="8">
        <f t="shared" si="4"/>
        <v>27</v>
      </c>
      <c r="H15" s="8" t="e">
        <f t="shared" si="5"/>
        <v>#VALUE!</v>
      </c>
      <c r="I15" s="8" t="e">
        <f t="shared" si="6"/>
        <v>#VALUE!</v>
      </c>
      <c r="J15" s="8" t="e">
        <f t="shared" si="7"/>
        <v>#VALUE!</v>
      </c>
    </row>
    <row r="16" spans="1:18" ht="21" customHeight="1" x14ac:dyDescent="0.25">
      <c r="A16" s="7">
        <v>3</v>
      </c>
      <c r="B16" s="7">
        <v>3</v>
      </c>
      <c r="C16" s="8">
        <f t="shared" si="0"/>
        <v>9</v>
      </c>
      <c r="D16" s="8">
        <f t="shared" si="1"/>
        <v>27</v>
      </c>
      <c r="E16" s="8">
        <f t="shared" si="2"/>
        <v>81</v>
      </c>
      <c r="F16" s="8">
        <f t="shared" si="3"/>
        <v>9</v>
      </c>
      <c r="G16" s="8">
        <f t="shared" si="4"/>
        <v>27</v>
      </c>
      <c r="H16" s="8" t="e">
        <f t="shared" si="5"/>
        <v>#VALUE!</v>
      </c>
      <c r="I16" s="8" t="e">
        <f t="shared" si="6"/>
        <v>#VALUE!</v>
      </c>
      <c r="J16" s="8" t="e">
        <f t="shared" si="7"/>
        <v>#VALUE!</v>
      </c>
      <c r="L16" s="1" t="s">
        <v>46</v>
      </c>
      <c r="M16" s="10" t="e">
        <f>IF(K14&lt;3,"","y F10= "&amp;TEXT(N12,"0.000000")&amp;" x^2 + "&amp;TEXT(N13,"0.000000")&amp;" x + "&amp;TEXT(N14,"0.000000"))</f>
        <v>#VALUE!</v>
      </c>
    </row>
    <row r="17" spans="1:13" ht="21" customHeight="1" x14ac:dyDescent="0.25">
      <c r="A17" s="7">
        <v>3</v>
      </c>
      <c r="B17" s="7">
        <v>3</v>
      </c>
      <c r="C17" s="8">
        <f t="shared" si="0"/>
        <v>9</v>
      </c>
      <c r="D17" s="8">
        <f t="shared" si="1"/>
        <v>27</v>
      </c>
      <c r="E17" s="8">
        <f t="shared" si="2"/>
        <v>81</v>
      </c>
      <c r="F17" s="8">
        <f t="shared" si="3"/>
        <v>9</v>
      </c>
      <c r="G17" s="8">
        <f t="shared" si="4"/>
        <v>27</v>
      </c>
      <c r="H17" s="8" t="e">
        <f t="shared" si="5"/>
        <v>#VALUE!</v>
      </c>
      <c r="I17" s="8" t="e">
        <f t="shared" si="6"/>
        <v>#VALUE!</v>
      </c>
      <c r="J17" s="8" t="e">
        <f t="shared" si="7"/>
        <v>#VALUE!</v>
      </c>
    </row>
    <row r="18" spans="1:13" ht="21" customHeight="1" x14ac:dyDescent="0.25">
      <c r="A18" s="7">
        <v>3</v>
      </c>
      <c r="B18" s="7">
        <v>3</v>
      </c>
      <c r="C18" s="8">
        <f t="shared" si="0"/>
        <v>9</v>
      </c>
      <c r="D18" s="8">
        <f t="shared" si="1"/>
        <v>27</v>
      </c>
      <c r="E18" s="8">
        <f t="shared" si="2"/>
        <v>81</v>
      </c>
      <c r="F18" s="8">
        <f t="shared" si="3"/>
        <v>9</v>
      </c>
      <c r="G18" s="8">
        <f t="shared" si="4"/>
        <v>27</v>
      </c>
      <c r="H18" s="8" t="e">
        <f t="shared" si="5"/>
        <v>#VALUE!</v>
      </c>
      <c r="I18" s="8" t="e">
        <f t="shared" si="6"/>
        <v>#VALUE!</v>
      </c>
      <c r="J18" s="8" t="e">
        <f t="shared" si="7"/>
        <v>#VALUE!</v>
      </c>
      <c r="L18" s="6" t="s">
        <v>59</v>
      </c>
      <c r="M18" s="6" t="s">
        <v>60</v>
      </c>
    </row>
    <row r="19" spans="1:13" ht="21" customHeight="1" x14ac:dyDescent="0.25">
      <c r="A19" s="7">
        <v>3</v>
      </c>
      <c r="B19" s="7">
        <v>3</v>
      </c>
      <c r="C19" s="8">
        <f t="shared" si="0"/>
        <v>9</v>
      </c>
      <c r="D19" s="8">
        <f t="shared" si="1"/>
        <v>27</v>
      </c>
      <c r="E19" s="8">
        <f t="shared" si="2"/>
        <v>81</v>
      </c>
      <c r="F19" s="8">
        <f t="shared" si="3"/>
        <v>9</v>
      </c>
      <c r="G19" s="8">
        <f t="shared" si="4"/>
        <v>27</v>
      </c>
      <c r="H19" s="8" t="e">
        <f t="shared" si="5"/>
        <v>#VALUE!</v>
      </c>
      <c r="I19" s="8" t="e">
        <f t="shared" si="6"/>
        <v>#VALUE!</v>
      </c>
      <c r="J19" s="8" t="e">
        <f t="shared" si="7"/>
        <v>#VALUE!</v>
      </c>
      <c r="M19" s="6" t="s">
        <v>61</v>
      </c>
    </row>
    <row r="20" spans="1:13" ht="21" customHeight="1" x14ac:dyDescent="0.25">
      <c r="A20" s="7">
        <v>3</v>
      </c>
      <c r="B20" s="7">
        <v>3</v>
      </c>
      <c r="C20" s="8">
        <f t="shared" si="0"/>
        <v>9</v>
      </c>
      <c r="D20" s="8">
        <f t="shared" si="1"/>
        <v>27</v>
      </c>
      <c r="E20" s="8">
        <f t="shared" si="2"/>
        <v>81</v>
      </c>
      <c r="F20" s="8">
        <f t="shared" si="3"/>
        <v>9</v>
      </c>
      <c r="G20" s="8">
        <f t="shared" si="4"/>
        <v>27</v>
      </c>
      <c r="H20" s="8" t="e">
        <f t="shared" si="5"/>
        <v>#VALUE!</v>
      </c>
      <c r="I20" s="8" t="e">
        <f t="shared" si="6"/>
        <v>#VALUE!</v>
      </c>
      <c r="J20" s="8" t="e">
        <f t="shared" si="7"/>
        <v>#VALUE!</v>
      </c>
      <c r="M20" s="6" t="s">
        <v>62</v>
      </c>
    </row>
    <row r="21" spans="1:13" ht="21" customHeight="1" x14ac:dyDescent="0.25">
      <c r="A21" s="7">
        <v>3</v>
      </c>
      <c r="B21" s="7">
        <v>3</v>
      </c>
      <c r="C21" s="8">
        <f t="shared" si="0"/>
        <v>9</v>
      </c>
      <c r="D21" s="8">
        <f t="shared" si="1"/>
        <v>27</v>
      </c>
      <c r="E21" s="8">
        <f t="shared" si="2"/>
        <v>81</v>
      </c>
      <c r="F21" s="8">
        <f t="shared" si="3"/>
        <v>9</v>
      </c>
      <c r="G21" s="8">
        <f t="shared" si="4"/>
        <v>27</v>
      </c>
      <c r="H21" s="8" t="e">
        <f t="shared" si="5"/>
        <v>#VALUE!</v>
      </c>
      <c r="I21" s="8" t="e">
        <f t="shared" si="6"/>
        <v>#VALUE!</v>
      </c>
      <c r="J21" s="8" t="e">
        <f t="shared" si="7"/>
        <v>#VALUE!</v>
      </c>
    </row>
    <row r="22" spans="1:13" ht="21" customHeight="1" x14ac:dyDescent="0.25">
      <c r="A22" s="7">
        <v>3</v>
      </c>
      <c r="B22" s="7">
        <v>3</v>
      </c>
      <c r="C22" s="8">
        <f t="shared" si="0"/>
        <v>9</v>
      </c>
      <c r="D22" s="8">
        <f t="shared" si="1"/>
        <v>27</v>
      </c>
      <c r="E22" s="8">
        <f t="shared" si="2"/>
        <v>81</v>
      </c>
      <c r="F22" s="8">
        <f t="shared" si="3"/>
        <v>9</v>
      </c>
      <c r="G22" s="8">
        <f t="shared" si="4"/>
        <v>27</v>
      </c>
      <c r="H22" s="8" t="e">
        <f t="shared" si="5"/>
        <v>#VALUE!</v>
      </c>
      <c r="I22" s="8" t="e">
        <f t="shared" si="6"/>
        <v>#VALUE!</v>
      </c>
      <c r="J22" s="8" t="e">
        <f t="shared" si="7"/>
        <v>#VALUE!</v>
      </c>
    </row>
    <row r="23" spans="1:13" ht="21" customHeight="1" x14ac:dyDescent="0.25">
      <c r="A23" s="7">
        <v>3</v>
      </c>
      <c r="B23" s="7">
        <v>3</v>
      </c>
      <c r="C23" s="8">
        <f t="shared" si="0"/>
        <v>9</v>
      </c>
      <c r="D23" s="8">
        <f t="shared" si="1"/>
        <v>27</v>
      </c>
      <c r="E23" s="8">
        <f t="shared" si="2"/>
        <v>81</v>
      </c>
      <c r="F23" s="8">
        <f t="shared" si="3"/>
        <v>9</v>
      </c>
      <c r="G23" s="8">
        <f t="shared" si="4"/>
        <v>27</v>
      </c>
      <c r="H23" s="8" t="e">
        <f t="shared" si="5"/>
        <v>#VALUE!</v>
      </c>
      <c r="I23" s="8" t="e">
        <f t="shared" si="6"/>
        <v>#VALUE!</v>
      </c>
      <c r="J23" s="8" t="e">
        <f t="shared" si="7"/>
        <v>#VALUE!</v>
      </c>
    </row>
    <row r="24" spans="1:13" ht="21" customHeight="1" x14ac:dyDescent="0.25">
      <c r="A24" s="7">
        <v>3</v>
      </c>
      <c r="B24" s="7">
        <v>3</v>
      </c>
      <c r="C24" s="8">
        <f t="shared" si="0"/>
        <v>9</v>
      </c>
      <c r="D24" s="8">
        <f t="shared" si="1"/>
        <v>27</v>
      </c>
      <c r="E24" s="8">
        <f t="shared" si="2"/>
        <v>81</v>
      </c>
      <c r="F24" s="8">
        <f t="shared" si="3"/>
        <v>9</v>
      </c>
      <c r="G24" s="8">
        <f t="shared" si="4"/>
        <v>27</v>
      </c>
      <c r="H24" s="8" t="e">
        <f t="shared" si="5"/>
        <v>#VALUE!</v>
      </c>
      <c r="I24" s="8" t="e">
        <f t="shared" si="6"/>
        <v>#VALUE!</v>
      </c>
      <c r="J24" s="8" t="e">
        <f t="shared" si="7"/>
        <v>#VALUE!</v>
      </c>
    </row>
    <row r="25" spans="1:13" ht="21" customHeight="1" x14ac:dyDescent="0.25">
      <c r="A25" s="7">
        <v>3</v>
      </c>
      <c r="B25" s="7">
        <v>3</v>
      </c>
      <c r="C25" s="8">
        <f t="shared" si="0"/>
        <v>9</v>
      </c>
      <c r="D25" s="8">
        <f t="shared" si="1"/>
        <v>27</v>
      </c>
      <c r="E25" s="8">
        <f t="shared" si="2"/>
        <v>81</v>
      </c>
      <c r="F25" s="8">
        <f t="shared" si="3"/>
        <v>9</v>
      </c>
      <c r="G25" s="8">
        <f t="shared" si="4"/>
        <v>27</v>
      </c>
      <c r="H25" s="8" t="e">
        <f t="shared" si="5"/>
        <v>#VALUE!</v>
      </c>
      <c r="I25" s="8" t="e">
        <f t="shared" si="6"/>
        <v>#VALUE!</v>
      </c>
      <c r="J25" s="8" t="e">
        <f t="shared" si="7"/>
        <v>#VALUE!</v>
      </c>
    </row>
    <row r="26" spans="1:13" ht="21" customHeight="1" x14ac:dyDescent="0.25">
      <c r="A26" s="7">
        <v>3</v>
      </c>
      <c r="B26" s="7">
        <v>3</v>
      </c>
      <c r="C26" s="8">
        <f t="shared" si="0"/>
        <v>9</v>
      </c>
      <c r="D26" s="8">
        <f t="shared" si="1"/>
        <v>27</v>
      </c>
      <c r="E26" s="8">
        <f t="shared" si="2"/>
        <v>81</v>
      </c>
      <c r="F26" s="8">
        <f t="shared" si="3"/>
        <v>9</v>
      </c>
      <c r="G26" s="8">
        <f t="shared" si="4"/>
        <v>27</v>
      </c>
      <c r="H26" s="8" t="e">
        <f t="shared" si="5"/>
        <v>#VALUE!</v>
      </c>
      <c r="I26" s="8" t="e">
        <f t="shared" si="6"/>
        <v>#VALUE!</v>
      </c>
      <c r="J26" s="8" t="e">
        <f t="shared" si="7"/>
        <v>#VALUE!</v>
      </c>
    </row>
    <row r="27" spans="1:13" ht="21" customHeight="1" x14ac:dyDescent="0.25">
      <c r="A27" s="7">
        <v>3</v>
      </c>
      <c r="B27" s="7">
        <v>3</v>
      </c>
      <c r="C27" s="8">
        <f t="shared" si="0"/>
        <v>9</v>
      </c>
      <c r="D27" s="8">
        <f t="shared" si="1"/>
        <v>27</v>
      </c>
      <c r="E27" s="8">
        <f t="shared" si="2"/>
        <v>81</v>
      </c>
      <c r="F27" s="8">
        <f t="shared" si="3"/>
        <v>9</v>
      </c>
      <c r="G27" s="8">
        <f t="shared" si="4"/>
        <v>27</v>
      </c>
      <c r="H27" s="8" t="e">
        <f t="shared" si="5"/>
        <v>#VALUE!</v>
      </c>
      <c r="I27" s="8" t="e">
        <f t="shared" si="6"/>
        <v>#VALUE!</v>
      </c>
      <c r="J27" s="8" t="e">
        <f t="shared" si="7"/>
        <v>#VALUE!</v>
      </c>
    </row>
    <row r="28" spans="1:13" ht="21" customHeight="1" x14ac:dyDescent="0.25">
      <c r="A28" s="7">
        <v>3</v>
      </c>
      <c r="B28" s="7">
        <v>3</v>
      </c>
      <c r="C28" s="8">
        <f t="shared" si="0"/>
        <v>9</v>
      </c>
      <c r="D28" s="8">
        <f t="shared" si="1"/>
        <v>27</v>
      </c>
      <c r="E28" s="8">
        <f t="shared" si="2"/>
        <v>81</v>
      </c>
      <c r="F28" s="8">
        <f t="shared" si="3"/>
        <v>9</v>
      </c>
      <c r="G28" s="8">
        <f t="shared" si="4"/>
        <v>27</v>
      </c>
      <c r="H28" s="8" t="e">
        <f t="shared" si="5"/>
        <v>#VALUE!</v>
      </c>
      <c r="I28" s="8" t="e">
        <f t="shared" si="6"/>
        <v>#VALUE!</v>
      </c>
      <c r="J28" s="8" t="e">
        <f t="shared" si="7"/>
        <v>#VALUE!</v>
      </c>
    </row>
    <row r="29" spans="1:13" ht="21" customHeight="1" x14ac:dyDescent="0.25">
      <c r="A29" s="7">
        <v>3</v>
      </c>
      <c r="B29" s="7">
        <v>3</v>
      </c>
      <c r="C29" s="8">
        <f t="shared" si="0"/>
        <v>9</v>
      </c>
      <c r="D29" s="8">
        <f t="shared" si="1"/>
        <v>27</v>
      </c>
      <c r="E29" s="8">
        <f t="shared" si="2"/>
        <v>81</v>
      </c>
      <c r="F29" s="8">
        <f t="shared" si="3"/>
        <v>9</v>
      </c>
      <c r="G29" s="8">
        <f t="shared" si="4"/>
        <v>27</v>
      </c>
      <c r="H29" s="8" t="e">
        <f t="shared" si="5"/>
        <v>#VALUE!</v>
      </c>
      <c r="I29" s="8" t="e">
        <f t="shared" si="6"/>
        <v>#VALUE!</v>
      </c>
      <c r="J29" s="8" t="e">
        <f t="shared" si="7"/>
        <v>#VALUE!</v>
      </c>
    </row>
    <row r="30" spans="1:13" ht="21" customHeight="1" x14ac:dyDescent="0.25">
      <c r="A30" s="7">
        <v>3</v>
      </c>
      <c r="B30" s="7">
        <v>3</v>
      </c>
      <c r="C30" s="8">
        <f t="shared" si="0"/>
        <v>9</v>
      </c>
      <c r="D30" s="8">
        <f t="shared" si="1"/>
        <v>27</v>
      </c>
      <c r="E30" s="8">
        <f t="shared" si="2"/>
        <v>81</v>
      </c>
      <c r="F30" s="8">
        <f t="shared" si="3"/>
        <v>9</v>
      </c>
      <c r="G30" s="8">
        <f t="shared" si="4"/>
        <v>27</v>
      </c>
      <c r="H30" s="8" t="e">
        <f t="shared" si="5"/>
        <v>#VALUE!</v>
      </c>
      <c r="I30" s="8" t="e">
        <f t="shared" si="6"/>
        <v>#VALUE!</v>
      </c>
      <c r="J30" s="8" t="e">
        <f t="shared" si="7"/>
        <v>#VALUE!</v>
      </c>
    </row>
    <row r="31" spans="1:13" ht="21" customHeight="1" x14ac:dyDescent="0.25">
      <c r="A31" s="7">
        <v>3</v>
      </c>
      <c r="B31" s="7">
        <v>3</v>
      </c>
      <c r="C31" s="8">
        <f t="shared" si="0"/>
        <v>9</v>
      </c>
      <c r="D31" s="8">
        <f t="shared" si="1"/>
        <v>27</v>
      </c>
      <c r="E31" s="8">
        <f t="shared" si="2"/>
        <v>81</v>
      </c>
      <c r="F31" s="8">
        <f t="shared" si="3"/>
        <v>9</v>
      </c>
      <c r="G31" s="8">
        <f t="shared" si="4"/>
        <v>27</v>
      </c>
      <c r="H31" s="8" t="e">
        <f t="shared" si="5"/>
        <v>#VALUE!</v>
      </c>
      <c r="I31" s="8" t="e">
        <f t="shared" si="6"/>
        <v>#VALUE!</v>
      </c>
      <c r="J31" s="8" t="e">
        <f t="shared" si="7"/>
        <v>#VALUE!</v>
      </c>
    </row>
    <row r="32" spans="1:13" ht="21" customHeight="1" x14ac:dyDescent="0.25">
      <c r="A32" s="7">
        <v>3</v>
      </c>
      <c r="B32" s="7">
        <v>3</v>
      </c>
      <c r="C32" s="8">
        <f t="shared" si="0"/>
        <v>9</v>
      </c>
      <c r="D32" s="8">
        <f t="shared" si="1"/>
        <v>27</v>
      </c>
      <c r="E32" s="8">
        <f t="shared" si="2"/>
        <v>81</v>
      </c>
      <c r="F32" s="8">
        <f t="shared" si="3"/>
        <v>9</v>
      </c>
      <c r="G32" s="8">
        <f t="shared" si="4"/>
        <v>27</v>
      </c>
      <c r="H32" s="8" t="e">
        <f t="shared" si="5"/>
        <v>#VALUE!</v>
      </c>
      <c r="I32" s="8" t="e">
        <f t="shared" si="6"/>
        <v>#VALUE!</v>
      </c>
      <c r="J32" s="8" t="e">
        <f t="shared" si="7"/>
        <v>#VALUE!</v>
      </c>
    </row>
    <row r="33" spans="1:14" ht="21" customHeight="1" x14ac:dyDescent="0.25">
      <c r="A33" s="7">
        <v>3</v>
      </c>
      <c r="B33" s="7">
        <v>3</v>
      </c>
      <c r="C33" s="8">
        <f t="shared" si="0"/>
        <v>9</v>
      </c>
      <c r="D33" s="8">
        <f t="shared" si="1"/>
        <v>27</v>
      </c>
      <c r="E33" s="8">
        <f t="shared" si="2"/>
        <v>81</v>
      </c>
      <c r="F33" s="8">
        <f t="shared" si="3"/>
        <v>9</v>
      </c>
      <c r="G33" s="8">
        <f t="shared" si="4"/>
        <v>27</v>
      </c>
      <c r="H33" s="8" t="e">
        <f t="shared" si="5"/>
        <v>#VALUE!</v>
      </c>
      <c r="I33" s="8" t="e">
        <f t="shared" si="6"/>
        <v>#VALUE!</v>
      </c>
      <c r="J33" s="8" t="e">
        <f t="shared" si="7"/>
        <v>#VALUE!</v>
      </c>
    </row>
    <row r="34" spans="1:14" ht="21" customHeight="1" x14ac:dyDescent="0.25">
      <c r="A34" s="7">
        <v>3</v>
      </c>
      <c r="B34" s="7">
        <v>3</v>
      </c>
      <c r="C34" s="8">
        <f t="shared" si="0"/>
        <v>9</v>
      </c>
      <c r="D34" s="8">
        <f t="shared" si="1"/>
        <v>27</v>
      </c>
      <c r="E34" s="8">
        <f t="shared" si="2"/>
        <v>81</v>
      </c>
      <c r="F34" s="8">
        <f t="shared" si="3"/>
        <v>9</v>
      </c>
      <c r="G34" s="8">
        <f t="shared" si="4"/>
        <v>27</v>
      </c>
      <c r="H34" s="8" t="e">
        <f t="shared" si="5"/>
        <v>#VALUE!</v>
      </c>
      <c r="I34" s="8" t="e">
        <f t="shared" si="6"/>
        <v>#VALUE!</v>
      </c>
      <c r="J34" s="8" t="e">
        <f t="shared" si="7"/>
        <v>#VALUE!</v>
      </c>
    </row>
    <row r="35" spans="1:14" ht="21" customHeight="1" x14ac:dyDescent="0.25">
      <c r="A35" s="7">
        <v>3</v>
      </c>
      <c r="B35" s="7">
        <v>3</v>
      </c>
      <c r="C35" s="8">
        <f t="shared" si="0"/>
        <v>9</v>
      </c>
      <c r="D35" s="8">
        <f t="shared" si="1"/>
        <v>27</v>
      </c>
      <c r="E35" s="8">
        <f t="shared" si="2"/>
        <v>81</v>
      </c>
      <c r="F35" s="8">
        <f t="shared" si="3"/>
        <v>9</v>
      </c>
      <c r="G35" s="8">
        <f t="shared" si="4"/>
        <v>27</v>
      </c>
      <c r="H35" s="8" t="e">
        <f t="shared" si="5"/>
        <v>#VALUE!</v>
      </c>
      <c r="I35" s="8" t="e">
        <f t="shared" si="6"/>
        <v>#VALUE!</v>
      </c>
      <c r="J35" s="8" t="e">
        <f t="shared" si="7"/>
        <v>#VALUE!</v>
      </c>
    </row>
    <row r="36" spans="1:14" ht="21" customHeight="1" x14ac:dyDescent="0.25">
      <c r="A36" s="7">
        <v>3</v>
      </c>
      <c r="B36" s="7">
        <v>3</v>
      </c>
      <c r="C36" s="8">
        <f t="shared" si="0"/>
        <v>9</v>
      </c>
      <c r="D36" s="8">
        <f t="shared" si="1"/>
        <v>27</v>
      </c>
      <c r="E36" s="8">
        <f t="shared" si="2"/>
        <v>81</v>
      </c>
      <c r="F36" s="8">
        <f t="shared" si="3"/>
        <v>9</v>
      </c>
      <c r="G36" s="8">
        <f t="shared" si="4"/>
        <v>27</v>
      </c>
      <c r="H36" s="8" t="e">
        <f t="shared" si="5"/>
        <v>#VALUE!</v>
      </c>
      <c r="I36" s="8" t="e">
        <f t="shared" si="6"/>
        <v>#VALUE!</v>
      </c>
      <c r="J36" s="8" t="e">
        <f t="shared" si="7"/>
        <v>#VALUE!</v>
      </c>
    </row>
    <row r="37" spans="1:14" ht="21" customHeight="1" x14ac:dyDescent="0.25">
      <c r="A37" s="7">
        <v>3</v>
      </c>
      <c r="B37" s="7">
        <v>3</v>
      </c>
      <c r="C37" s="8">
        <f t="shared" si="0"/>
        <v>9</v>
      </c>
      <c r="D37" s="8">
        <f t="shared" si="1"/>
        <v>27</v>
      </c>
      <c r="E37" s="8">
        <f t="shared" si="2"/>
        <v>81</v>
      </c>
      <c r="F37" s="8">
        <f t="shared" si="3"/>
        <v>9</v>
      </c>
      <c r="G37" s="8">
        <f t="shared" si="4"/>
        <v>27</v>
      </c>
      <c r="H37" s="8" t="e">
        <f t="shared" si="5"/>
        <v>#VALUE!</v>
      </c>
      <c r="I37" s="8" t="e">
        <f t="shared" si="6"/>
        <v>#VALUE!</v>
      </c>
      <c r="J37" s="8" t="e">
        <f t="shared" si="7"/>
        <v>#VALUE!</v>
      </c>
    </row>
    <row r="38" spans="1:14" ht="21" customHeight="1" x14ac:dyDescent="0.25">
      <c r="A38" s="7">
        <v>3</v>
      </c>
      <c r="B38" s="7">
        <v>3</v>
      </c>
      <c r="C38" s="8">
        <f t="shared" si="0"/>
        <v>9</v>
      </c>
      <c r="D38" s="8">
        <f t="shared" si="1"/>
        <v>27</v>
      </c>
      <c r="E38" s="8">
        <f t="shared" si="2"/>
        <v>81</v>
      </c>
      <c r="F38" s="8">
        <f t="shared" si="3"/>
        <v>9</v>
      </c>
      <c r="G38" s="8">
        <f t="shared" si="4"/>
        <v>27</v>
      </c>
      <c r="H38" s="8" t="e">
        <f t="shared" si="5"/>
        <v>#VALUE!</v>
      </c>
      <c r="I38" s="8" t="e">
        <f t="shared" si="6"/>
        <v>#VALUE!</v>
      </c>
      <c r="J38" s="8" t="e">
        <f t="shared" si="7"/>
        <v>#VALUE!</v>
      </c>
    </row>
    <row r="39" spans="1:14" ht="21" customHeight="1" x14ac:dyDescent="0.25">
      <c r="A39" s="7">
        <v>3</v>
      </c>
      <c r="B39" s="7">
        <v>3</v>
      </c>
      <c r="C39" s="8">
        <f t="shared" si="0"/>
        <v>9</v>
      </c>
      <c r="D39" s="8">
        <f t="shared" si="1"/>
        <v>27</v>
      </c>
      <c r="E39" s="8">
        <f t="shared" si="2"/>
        <v>81</v>
      </c>
      <c r="F39" s="8">
        <f t="shared" si="3"/>
        <v>9</v>
      </c>
      <c r="G39" s="8">
        <f t="shared" si="4"/>
        <v>27</v>
      </c>
      <c r="H39" s="8" t="e">
        <f t="shared" si="5"/>
        <v>#VALUE!</v>
      </c>
      <c r="I39" s="8" t="e">
        <f t="shared" si="6"/>
        <v>#VALUE!</v>
      </c>
      <c r="J39" s="8" t="e">
        <f t="shared" si="7"/>
        <v>#VALUE!</v>
      </c>
    </row>
    <row r="40" spans="1:14" ht="21" customHeight="1" x14ac:dyDescent="0.25">
      <c r="A40" s="7">
        <v>3</v>
      </c>
      <c r="B40" s="7">
        <v>3</v>
      </c>
      <c r="C40" s="8">
        <f t="shared" si="0"/>
        <v>9</v>
      </c>
      <c r="D40" s="8">
        <f t="shared" si="1"/>
        <v>27</v>
      </c>
      <c r="E40" s="8">
        <f t="shared" si="2"/>
        <v>81</v>
      </c>
      <c r="F40" s="8">
        <f t="shared" si="3"/>
        <v>9</v>
      </c>
      <c r="G40" s="8">
        <f t="shared" si="4"/>
        <v>27</v>
      </c>
      <c r="H40" s="8" t="e">
        <f t="shared" si="5"/>
        <v>#VALUE!</v>
      </c>
      <c r="I40" s="8" t="e">
        <f t="shared" si="6"/>
        <v>#VALUE!</v>
      </c>
      <c r="J40" s="8" t="e">
        <f t="shared" si="7"/>
        <v>#VALUE!</v>
      </c>
    </row>
    <row r="41" spans="1:14" ht="21" customHeight="1" x14ac:dyDescent="0.25">
      <c r="A41" s="7">
        <v>3</v>
      </c>
      <c r="B41" s="7">
        <v>3</v>
      </c>
      <c r="C41" s="8">
        <f t="shared" si="0"/>
        <v>9</v>
      </c>
      <c r="D41" s="8">
        <f t="shared" si="1"/>
        <v>27</v>
      </c>
      <c r="E41" s="8">
        <f t="shared" si="2"/>
        <v>81</v>
      </c>
      <c r="F41" s="8">
        <f t="shared" si="3"/>
        <v>9</v>
      </c>
      <c r="G41" s="8">
        <f t="shared" si="4"/>
        <v>27</v>
      </c>
      <c r="H41" s="8" t="e">
        <f t="shared" si="5"/>
        <v>#VALUE!</v>
      </c>
      <c r="I41" s="8" t="e">
        <f t="shared" si="6"/>
        <v>#VALUE!</v>
      </c>
      <c r="J41" s="8" t="e">
        <f t="shared" si="7"/>
        <v>#VALUE!</v>
      </c>
    </row>
    <row r="42" spans="1:14" ht="21" customHeight="1" thickBot="1" x14ac:dyDescent="0.3">
      <c r="A42" s="11" t="s">
        <v>47</v>
      </c>
      <c r="B42" s="12">
        <f t="shared" ref="A42:G43" si="8">SUM(B7:B41)</f>
        <v>102</v>
      </c>
      <c r="C42" s="12">
        <f t="shared" si="8"/>
        <v>756</v>
      </c>
      <c r="D42" s="12">
        <f t="shared" si="8"/>
        <v>11444</v>
      </c>
      <c r="E42" s="12">
        <f t="shared" si="8"/>
        <v>236604</v>
      </c>
      <c r="F42" s="12" t="e">
        <f t="shared" si="8"/>
        <v>#NAME?</v>
      </c>
      <c r="G42" s="12">
        <f t="shared" si="8"/>
        <v>2268</v>
      </c>
      <c r="H42" s="13"/>
      <c r="I42" s="12" t="e">
        <f>SUM(I7:I41)</f>
        <v>#VALUE!</v>
      </c>
      <c r="J42" s="12" t="e">
        <f>SUM(J7:J41)</f>
        <v>#VALUE!</v>
      </c>
      <c r="K42" s="13"/>
      <c r="L42" s="13"/>
      <c r="M42" s="13"/>
      <c r="N42" s="13"/>
    </row>
    <row r="43" spans="1:14" ht="21" customHeight="1" x14ac:dyDescent="0.25">
      <c r="A43" s="12">
        <f>SUM(A7:A41)</f>
        <v>118</v>
      </c>
    </row>
    <row r="44" spans="1:14" ht="21" customHeight="1" x14ac:dyDescent="0.25"/>
  </sheetData>
  <mergeCells count="4">
    <mergeCell ref="A4:H4"/>
    <mergeCell ref="A2:N2"/>
    <mergeCell ref="L4:R4"/>
    <mergeCell ref="A1:N1"/>
  </mergeCells>
  <pageMargins left="0.75" right="0.75" top="1" bottom="1" header="0.5" footer="0.5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4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11" customWidth="1"/>
    <col min="2" max="5" width="12" customWidth="1"/>
    <col min="6" max="6" width="14" customWidth="1"/>
    <col min="7" max="8" width="12" customWidth="1"/>
    <col min="10" max="10" width="18" customWidth="1"/>
    <col min="11" max="11" width="16" customWidth="1"/>
    <col min="12" max="12" width="40" customWidth="1"/>
  </cols>
  <sheetData>
    <row r="1" spans="1:14" ht="24" customHeight="1" x14ac:dyDescent="0.25">
      <c r="A1" s="18" t="s">
        <v>63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24" customHeight="1" x14ac:dyDescent="0.25">
      <c r="A2" s="24" t="s">
        <v>64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1" customHeight="1" x14ac:dyDescent="0.25"/>
    <row r="4" spans="1:14" ht="21" customHeight="1" x14ac:dyDescent="0.25">
      <c r="A4" s="19" t="s">
        <v>21</v>
      </c>
      <c r="B4" s="19"/>
      <c r="C4" s="19"/>
      <c r="D4" s="19"/>
      <c r="E4" s="19"/>
      <c r="F4" s="19"/>
      <c r="G4" s="19"/>
      <c r="H4" s="19"/>
      <c r="J4" s="19" t="s">
        <v>65</v>
      </c>
      <c r="K4" s="19"/>
      <c r="L4" s="19"/>
    </row>
    <row r="5" spans="1:14" ht="21" customHeight="1" x14ac:dyDescent="0.25">
      <c r="A5" s="3" t="s">
        <v>23</v>
      </c>
    </row>
    <row r="6" spans="1:14" ht="24" customHeight="1" x14ac:dyDescent="0.25">
      <c r="A6" s="2" t="s">
        <v>24</v>
      </c>
      <c r="B6" s="2" t="s">
        <v>25</v>
      </c>
      <c r="C6" s="2" t="s">
        <v>66</v>
      </c>
      <c r="D6" s="2" t="s">
        <v>67</v>
      </c>
      <c r="E6" s="2" t="s">
        <v>68</v>
      </c>
      <c r="F6" s="2" t="s">
        <v>28</v>
      </c>
      <c r="G6" s="2" t="s">
        <v>29</v>
      </c>
      <c r="H6" s="2" t="s">
        <v>30</v>
      </c>
      <c r="J6" s="4" t="s">
        <v>32</v>
      </c>
      <c r="K6" s="5">
        <f>COUNTA(A7:A41)</f>
        <v>0</v>
      </c>
    </row>
    <row r="7" spans="1:14" ht="21" customHeight="1" x14ac:dyDescent="0.25">
      <c r="A7" s="7"/>
      <c r="B7" s="7"/>
      <c r="C7" s="8" t="str">
        <f t="shared" ref="C7:C41" si="0">IF(OR(A7="",B7=""),"",LN(A7))</f>
        <v/>
      </c>
      <c r="D7" s="8" t="str">
        <f t="shared" ref="D7:D41" si="1">IF(C7="","",C7^2)</f>
        <v/>
      </c>
      <c r="E7" s="8" t="str">
        <f t="shared" ref="E7:E41" si="2">IF(C7="","",B7*C7)</f>
        <v/>
      </c>
      <c r="F7" s="8" t="str">
        <f t="shared" ref="F7:F41" si="3">IF(OR(A7="",B7=""),"",$K$8+$K$9*LN(A7))</f>
        <v/>
      </c>
      <c r="G7" s="8" t="str">
        <f t="shared" ref="G7:G41" si="4">IF(F7="","",B7-F7)</f>
        <v/>
      </c>
      <c r="H7" s="8" t="str">
        <f t="shared" ref="H7:H41" si="5">IF(G7="","",G7^2)</f>
        <v/>
      </c>
      <c r="J7" s="4" t="s">
        <v>69</v>
      </c>
      <c r="K7" s="16" t="s">
        <v>70</v>
      </c>
    </row>
    <row r="8" spans="1:14" ht="21" customHeight="1" x14ac:dyDescent="0.25">
      <c r="A8" s="7"/>
      <c r="B8" s="7"/>
      <c r="C8" s="8" t="str">
        <f t="shared" si="0"/>
        <v/>
      </c>
      <c r="D8" s="8" t="str">
        <f t="shared" si="1"/>
        <v/>
      </c>
      <c r="E8" s="8" t="str">
        <f t="shared" si="2"/>
        <v/>
      </c>
      <c r="F8" s="8" t="str">
        <f t="shared" si="3"/>
        <v/>
      </c>
      <c r="G8" s="8" t="str">
        <f t="shared" si="4"/>
        <v/>
      </c>
      <c r="H8" s="8" t="str">
        <f t="shared" si="5"/>
        <v/>
      </c>
      <c r="J8" s="4" t="s">
        <v>57</v>
      </c>
      <c r="K8" s="5" t="str">
        <f>IF(K6&lt;2,"",(B42-K9*C42)/K6)</f>
        <v/>
      </c>
    </row>
    <row r="9" spans="1:14" ht="21" customHeight="1" x14ac:dyDescent="0.25">
      <c r="A9" s="7"/>
      <c r="B9" s="7"/>
      <c r="C9" s="8" t="str">
        <f t="shared" si="0"/>
        <v/>
      </c>
      <c r="D9" s="8" t="str">
        <f t="shared" si="1"/>
        <v/>
      </c>
      <c r="E9" s="8" t="str">
        <f t="shared" si="2"/>
        <v/>
      </c>
      <c r="F9" s="8" t="str">
        <f t="shared" si="3"/>
        <v/>
      </c>
      <c r="G9" s="8" t="str">
        <f t="shared" si="4"/>
        <v/>
      </c>
      <c r="H9" s="8" t="str">
        <f t="shared" si="5"/>
        <v/>
      </c>
      <c r="J9" s="4" t="s">
        <v>36</v>
      </c>
      <c r="K9" s="5" t="str">
        <f>IF(K6&lt;2,"",(K6*E42-C42*B42)/(K6*D42-C42^2))</f>
        <v/>
      </c>
    </row>
    <row r="10" spans="1:14" ht="21" customHeight="1" x14ac:dyDescent="0.25">
      <c r="A10" s="7"/>
      <c r="B10" s="7"/>
      <c r="C10" s="8" t="str">
        <f t="shared" si="0"/>
        <v/>
      </c>
      <c r="D10" s="8" t="str">
        <f t="shared" si="1"/>
        <v/>
      </c>
      <c r="E10" s="8" t="str">
        <f t="shared" si="2"/>
        <v/>
      </c>
      <c r="F10" s="8" t="str">
        <f t="shared" si="3"/>
        <v/>
      </c>
      <c r="G10" s="8" t="str">
        <f t="shared" si="4"/>
        <v/>
      </c>
      <c r="H10" s="8" t="str">
        <f t="shared" si="5"/>
        <v/>
      </c>
      <c r="J10" s="4" t="s">
        <v>38</v>
      </c>
      <c r="K10" s="5" t="str">
        <f>IF(K6&lt;2,"",1-SUM(H7:H41)/DEVSQ(B7:B41))</f>
        <v/>
      </c>
    </row>
    <row r="11" spans="1:14" ht="21" customHeight="1" x14ac:dyDescent="0.25">
      <c r="A11" s="7"/>
      <c r="B11" s="7"/>
      <c r="C11" s="8" t="str">
        <f t="shared" si="0"/>
        <v/>
      </c>
      <c r="D11" s="8" t="str">
        <f t="shared" si="1"/>
        <v/>
      </c>
      <c r="E11" s="8" t="str">
        <f t="shared" si="2"/>
        <v/>
      </c>
      <c r="F11" s="8" t="str">
        <f t="shared" si="3"/>
        <v/>
      </c>
      <c r="G11" s="8" t="str">
        <f t="shared" si="4"/>
        <v/>
      </c>
      <c r="H11" s="8" t="str">
        <f t="shared" si="5"/>
        <v/>
      </c>
      <c r="J11" s="4" t="s">
        <v>40</v>
      </c>
      <c r="K11" s="5" t="str">
        <f>IF(K6=0,"",SUM(H7:H41)/K6)</f>
        <v/>
      </c>
    </row>
    <row r="12" spans="1:14" ht="21" customHeight="1" x14ac:dyDescent="0.25">
      <c r="A12" s="7"/>
      <c r="B12" s="7"/>
      <c r="C12" s="8" t="str">
        <f t="shared" si="0"/>
        <v/>
      </c>
      <c r="D12" s="8" t="str">
        <f t="shared" si="1"/>
        <v/>
      </c>
      <c r="E12" s="8" t="str">
        <f t="shared" si="2"/>
        <v/>
      </c>
      <c r="F12" s="8" t="str">
        <f t="shared" si="3"/>
        <v/>
      </c>
      <c r="G12" s="8" t="str">
        <f t="shared" si="4"/>
        <v/>
      </c>
      <c r="H12" s="8" t="str">
        <f t="shared" si="5"/>
        <v/>
      </c>
    </row>
    <row r="13" spans="1:14" ht="21" customHeight="1" x14ac:dyDescent="0.25">
      <c r="A13" s="7"/>
      <c r="B13" s="7"/>
      <c r="C13" s="8" t="str">
        <f t="shared" si="0"/>
        <v/>
      </c>
      <c r="D13" s="8" t="str">
        <f t="shared" si="1"/>
        <v/>
      </c>
      <c r="E13" s="8" t="str">
        <f t="shared" si="2"/>
        <v/>
      </c>
      <c r="F13" s="8" t="str">
        <f t="shared" si="3"/>
        <v/>
      </c>
      <c r="G13" s="8" t="str">
        <f t="shared" si="4"/>
        <v/>
      </c>
      <c r="H13" s="8" t="str">
        <f t="shared" si="5"/>
        <v/>
      </c>
      <c r="J13" s="6" t="s">
        <v>71</v>
      </c>
      <c r="K13" s="17" t="e">
        <f>(n*SUM(X*y)-SUM(X)*SUM(y))/(n*SUM(X^2)-SUM(X)^2)</f>
        <v>#NAME?</v>
      </c>
    </row>
    <row r="14" spans="1:14" ht="21" customHeight="1" x14ac:dyDescent="0.25">
      <c r="A14" s="7"/>
      <c r="B14" s="7"/>
      <c r="C14" s="8" t="str">
        <f t="shared" si="0"/>
        <v/>
      </c>
      <c r="D14" s="8" t="str">
        <f t="shared" si="1"/>
        <v/>
      </c>
      <c r="E14" s="8" t="str">
        <f t="shared" si="2"/>
        <v/>
      </c>
      <c r="F14" s="8" t="str">
        <f t="shared" si="3"/>
        <v/>
      </c>
      <c r="G14" s="8" t="str">
        <f t="shared" si="4"/>
        <v/>
      </c>
      <c r="H14" s="8" t="str">
        <f t="shared" si="5"/>
        <v/>
      </c>
      <c r="J14" s="6" t="s">
        <v>72</v>
      </c>
      <c r="K14" s="17" t="e">
        <f>(SUM(y)-b*SUM(X))/n</f>
        <v>#NAME?</v>
      </c>
    </row>
    <row r="15" spans="1:14" ht="21" customHeight="1" x14ac:dyDescent="0.25">
      <c r="A15" s="7"/>
      <c r="B15" s="7"/>
      <c r="C15" s="8" t="str">
        <f t="shared" si="0"/>
        <v/>
      </c>
      <c r="D15" s="8" t="str">
        <f t="shared" si="1"/>
        <v/>
      </c>
      <c r="E15" s="8" t="str">
        <f t="shared" si="2"/>
        <v/>
      </c>
      <c r="F15" s="8" t="str">
        <f t="shared" si="3"/>
        <v/>
      </c>
      <c r="G15" s="8" t="str">
        <f t="shared" si="4"/>
        <v/>
      </c>
      <c r="H15" s="8" t="str">
        <f t="shared" si="5"/>
        <v/>
      </c>
    </row>
    <row r="16" spans="1:14" ht="21" customHeight="1" x14ac:dyDescent="0.25">
      <c r="A16" s="7"/>
      <c r="B16" s="7"/>
      <c r="C16" s="8" t="str">
        <f t="shared" si="0"/>
        <v/>
      </c>
      <c r="D16" s="8" t="str">
        <f t="shared" si="1"/>
        <v/>
      </c>
      <c r="E16" s="8" t="str">
        <f t="shared" si="2"/>
        <v/>
      </c>
      <c r="F16" s="8" t="str">
        <f t="shared" si="3"/>
        <v/>
      </c>
      <c r="G16" s="8" t="str">
        <f t="shared" si="4"/>
        <v/>
      </c>
      <c r="H16" s="8" t="str">
        <f t="shared" si="5"/>
        <v/>
      </c>
      <c r="J16" s="1" t="s">
        <v>46</v>
      </c>
      <c r="K16" s="10" t="str">
        <f>IF(K6&lt;2,"","y = "&amp;TEXT(K8,"0.000000")&amp;" + "&amp;TEXT(K9,"0.000000")&amp;" ln(x)")</f>
        <v/>
      </c>
    </row>
    <row r="17" spans="1:8" ht="21" customHeight="1" x14ac:dyDescent="0.25">
      <c r="A17" s="7"/>
      <c r="B17" s="7"/>
      <c r="C17" s="8" t="str">
        <f t="shared" si="0"/>
        <v/>
      </c>
      <c r="D17" s="8" t="str">
        <f t="shared" si="1"/>
        <v/>
      </c>
      <c r="E17" s="8" t="str">
        <f t="shared" si="2"/>
        <v/>
      </c>
      <c r="F17" s="8" t="str">
        <f t="shared" si="3"/>
        <v/>
      </c>
      <c r="G17" s="8" t="str">
        <f t="shared" si="4"/>
        <v/>
      </c>
      <c r="H17" s="8" t="str">
        <f t="shared" si="5"/>
        <v/>
      </c>
    </row>
    <row r="18" spans="1:8" ht="21" customHeight="1" x14ac:dyDescent="0.25">
      <c r="A18" s="7"/>
      <c r="B18" s="7"/>
      <c r="C18" s="8" t="str">
        <f t="shared" si="0"/>
        <v/>
      </c>
      <c r="D18" s="8" t="str">
        <f t="shared" si="1"/>
        <v/>
      </c>
      <c r="E18" s="8" t="str">
        <f t="shared" si="2"/>
        <v/>
      </c>
      <c r="F18" s="8" t="str">
        <f t="shared" si="3"/>
        <v/>
      </c>
      <c r="G18" s="8" t="str">
        <f t="shared" si="4"/>
        <v/>
      </c>
      <c r="H18" s="8" t="str">
        <f t="shared" si="5"/>
        <v/>
      </c>
    </row>
    <row r="19" spans="1:8" ht="21" customHeight="1" x14ac:dyDescent="0.25">
      <c r="A19" s="7"/>
      <c r="B19" s="7"/>
      <c r="C19" s="8" t="str">
        <f t="shared" si="0"/>
        <v/>
      </c>
      <c r="D19" s="8" t="str">
        <f t="shared" si="1"/>
        <v/>
      </c>
      <c r="E19" s="8" t="str">
        <f t="shared" si="2"/>
        <v/>
      </c>
      <c r="F19" s="8" t="str">
        <f t="shared" si="3"/>
        <v/>
      </c>
      <c r="G19" s="8" t="str">
        <f t="shared" si="4"/>
        <v/>
      </c>
      <c r="H19" s="8" t="str">
        <f t="shared" si="5"/>
        <v/>
      </c>
    </row>
    <row r="20" spans="1:8" ht="21" customHeight="1" x14ac:dyDescent="0.25">
      <c r="A20" s="7"/>
      <c r="B20" s="7"/>
      <c r="C20" s="8" t="str">
        <f t="shared" si="0"/>
        <v/>
      </c>
      <c r="D20" s="8" t="str">
        <f t="shared" si="1"/>
        <v/>
      </c>
      <c r="E20" s="8" t="str">
        <f t="shared" si="2"/>
        <v/>
      </c>
      <c r="F20" s="8" t="str">
        <f t="shared" si="3"/>
        <v/>
      </c>
      <c r="G20" s="8" t="str">
        <f t="shared" si="4"/>
        <v/>
      </c>
      <c r="H20" s="8" t="str">
        <f t="shared" si="5"/>
        <v/>
      </c>
    </row>
    <row r="21" spans="1:8" ht="21" customHeight="1" x14ac:dyDescent="0.25">
      <c r="A21" s="7"/>
      <c r="B21" s="7"/>
      <c r="C21" s="8" t="str">
        <f t="shared" si="0"/>
        <v/>
      </c>
      <c r="D21" s="8" t="str">
        <f t="shared" si="1"/>
        <v/>
      </c>
      <c r="E21" s="8" t="str">
        <f t="shared" si="2"/>
        <v/>
      </c>
      <c r="F21" s="8" t="str">
        <f t="shared" si="3"/>
        <v/>
      </c>
      <c r="G21" s="8" t="str">
        <f t="shared" si="4"/>
        <v/>
      </c>
      <c r="H21" s="8" t="str">
        <f t="shared" si="5"/>
        <v/>
      </c>
    </row>
    <row r="22" spans="1:8" ht="21" customHeight="1" x14ac:dyDescent="0.25">
      <c r="A22" s="7"/>
      <c r="B22" s="7"/>
      <c r="C22" s="8" t="str">
        <f t="shared" si="0"/>
        <v/>
      </c>
      <c r="D22" s="8" t="str">
        <f t="shared" si="1"/>
        <v/>
      </c>
      <c r="E22" s="8" t="str">
        <f t="shared" si="2"/>
        <v/>
      </c>
      <c r="F22" s="8" t="str">
        <f t="shared" si="3"/>
        <v/>
      </c>
      <c r="G22" s="8" t="str">
        <f t="shared" si="4"/>
        <v/>
      </c>
      <c r="H22" s="8" t="str">
        <f t="shared" si="5"/>
        <v/>
      </c>
    </row>
    <row r="23" spans="1:8" ht="21" customHeight="1" x14ac:dyDescent="0.25">
      <c r="A23" s="7"/>
      <c r="B23" s="7"/>
      <c r="C23" s="8" t="str">
        <f t="shared" si="0"/>
        <v/>
      </c>
      <c r="D23" s="8" t="str">
        <f t="shared" si="1"/>
        <v/>
      </c>
      <c r="E23" s="8" t="str">
        <f t="shared" si="2"/>
        <v/>
      </c>
      <c r="F23" s="8" t="str">
        <f t="shared" si="3"/>
        <v/>
      </c>
      <c r="G23" s="8" t="str">
        <f t="shared" si="4"/>
        <v/>
      </c>
      <c r="H23" s="8" t="str">
        <f t="shared" si="5"/>
        <v/>
      </c>
    </row>
    <row r="24" spans="1:8" ht="21" customHeight="1" x14ac:dyDescent="0.25">
      <c r="A24" s="7"/>
      <c r="B24" s="7"/>
      <c r="C24" s="8" t="str">
        <f t="shared" si="0"/>
        <v/>
      </c>
      <c r="D24" s="8" t="str">
        <f t="shared" si="1"/>
        <v/>
      </c>
      <c r="E24" s="8" t="str">
        <f t="shared" si="2"/>
        <v/>
      </c>
      <c r="F24" s="8" t="str">
        <f t="shared" si="3"/>
        <v/>
      </c>
      <c r="G24" s="8" t="str">
        <f t="shared" si="4"/>
        <v/>
      </c>
      <c r="H24" s="8" t="str">
        <f t="shared" si="5"/>
        <v/>
      </c>
    </row>
    <row r="25" spans="1:8" ht="21" customHeight="1" x14ac:dyDescent="0.25">
      <c r="A25" s="7"/>
      <c r="B25" s="7"/>
      <c r="C25" s="8" t="str">
        <f t="shared" si="0"/>
        <v/>
      </c>
      <c r="D25" s="8" t="str">
        <f t="shared" si="1"/>
        <v/>
      </c>
      <c r="E25" s="8" t="str">
        <f t="shared" si="2"/>
        <v/>
      </c>
      <c r="F25" s="8" t="str">
        <f t="shared" si="3"/>
        <v/>
      </c>
      <c r="G25" s="8" t="str">
        <f t="shared" si="4"/>
        <v/>
      </c>
      <c r="H25" s="8" t="str">
        <f t="shared" si="5"/>
        <v/>
      </c>
    </row>
    <row r="26" spans="1:8" ht="21" customHeight="1" x14ac:dyDescent="0.25">
      <c r="A26" s="7"/>
      <c r="B26" s="7"/>
      <c r="C26" s="8" t="str">
        <f t="shared" si="0"/>
        <v/>
      </c>
      <c r="D26" s="8" t="str">
        <f t="shared" si="1"/>
        <v/>
      </c>
      <c r="E26" s="8" t="str">
        <f t="shared" si="2"/>
        <v/>
      </c>
      <c r="F26" s="8" t="str">
        <f t="shared" si="3"/>
        <v/>
      </c>
      <c r="G26" s="8" t="str">
        <f t="shared" si="4"/>
        <v/>
      </c>
      <c r="H26" s="8" t="str">
        <f t="shared" si="5"/>
        <v/>
      </c>
    </row>
    <row r="27" spans="1:8" ht="21" customHeight="1" x14ac:dyDescent="0.25">
      <c r="A27" s="7"/>
      <c r="B27" s="7"/>
      <c r="C27" s="8" t="str">
        <f t="shared" si="0"/>
        <v/>
      </c>
      <c r="D27" s="8" t="str">
        <f t="shared" si="1"/>
        <v/>
      </c>
      <c r="E27" s="8" t="str">
        <f t="shared" si="2"/>
        <v/>
      </c>
      <c r="F27" s="8" t="str">
        <f t="shared" si="3"/>
        <v/>
      </c>
      <c r="G27" s="8" t="str">
        <f t="shared" si="4"/>
        <v/>
      </c>
      <c r="H27" s="8" t="str">
        <f t="shared" si="5"/>
        <v/>
      </c>
    </row>
    <row r="28" spans="1:8" ht="21" customHeight="1" x14ac:dyDescent="0.25">
      <c r="A28" s="7"/>
      <c r="B28" s="7"/>
      <c r="C28" s="8" t="str">
        <f t="shared" si="0"/>
        <v/>
      </c>
      <c r="D28" s="8" t="str">
        <f t="shared" si="1"/>
        <v/>
      </c>
      <c r="E28" s="8" t="str">
        <f t="shared" si="2"/>
        <v/>
      </c>
      <c r="F28" s="8" t="str">
        <f t="shared" si="3"/>
        <v/>
      </c>
      <c r="G28" s="8" t="str">
        <f t="shared" si="4"/>
        <v/>
      </c>
      <c r="H28" s="8" t="str">
        <f t="shared" si="5"/>
        <v/>
      </c>
    </row>
    <row r="29" spans="1:8" ht="21" customHeight="1" x14ac:dyDescent="0.25">
      <c r="A29" s="7"/>
      <c r="B29" s="7"/>
      <c r="C29" s="8" t="str">
        <f t="shared" si="0"/>
        <v/>
      </c>
      <c r="D29" s="8" t="str">
        <f t="shared" si="1"/>
        <v/>
      </c>
      <c r="E29" s="8" t="str">
        <f t="shared" si="2"/>
        <v/>
      </c>
      <c r="F29" s="8" t="str">
        <f t="shared" si="3"/>
        <v/>
      </c>
      <c r="G29" s="8" t="str">
        <f t="shared" si="4"/>
        <v/>
      </c>
      <c r="H29" s="8" t="str">
        <f t="shared" si="5"/>
        <v/>
      </c>
    </row>
    <row r="30" spans="1:8" ht="21" customHeight="1" x14ac:dyDescent="0.25">
      <c r="A30" s="7"/>
      <c r="B30" s="7"/>
      <c r="C30" s="8" t="str">
        <f t="shared" si="0"/>
        <v/>
      </c>
      <c r="D30" s="8" t="str">
        <f t="shared" si="1"/>
        <v/>
      </c>
      <c r="E30" s="8" t="str">
        <f t="shared" si="2"/>
        <v/>
      </c>
      <c r="F30" s="8" t="str">
        <f t="shared" si="3"/>
        <v/>
      </c>
      <c r="G30" s="8" t="str">
        <f t="shared" si="4"/>
        <v/>
      </c>
      <c r="H30" s="8" t="str">
        <f t="shared" si="5"/>
        <v/>
      </c>
    </row>
    <row r="31" spans="1:8" ht="21" customHeight="1" x14ac:dyDescent="0.25">
      <c r="A31" s="7"/>
      <c r="B31" s="7"/>
      <c r="C31" s="8" t="str">
        <f t="shared" si="0"/>
        <v/>
      </c>
      <c r="D31" s="8" t="str">
        <f t="shared" si="1"/>
        <v/>
      </c>
      <c r="E31" s="8" t="str">
        <f t="shared" si="2"/>
        <v/>
      </c>
      <c r="F31" s="8" t="str">
        <f t="shared" si="3"/>
        <v/>
      </c>
      <c r="G31" s="8" t="str">
        <f t="shared" si="4"/>
        <v/>
      </c>
      <c r="H31" s="8" t="str">
        <f t="shared" si="5"/>
        <v/>
      </c>
    </row>
    <row r="32" spans="1:8" ht="21" customHeight="1" x14ac:dyDescent="0.25">
      <c r="A32" s="7"/>
      <c r="B32" s="7"/>
      <c r="C32" s="8" t="str">
        <f t="shared" si="0"/>
        <v/>
      </c>
      <c r="D32" s="8" t="str">
        <f t="shared" si="1"/>
        <v/>
      </c>
      <c r="E32" s="8" t="str">
        <f t="shared" si="2"/>
        <v/>
      </c>
      <c r="F32" s="8" t="str">
        <f t="shared" si="3"/>
        <v/>
      </c>
      <c r="G32" s="8" t="str">
        <f t="shared" si="4"/>
        <v/>
      </c>
      <c r="H32" s="8" t="str">
        <f t="shared" si="5"/>
        <v/>
      </c>
    </row>
    <row r="33" spans="1:14" ht="21" customHeight="1" x14ac:dyDescent="0.25">
      <c r="A33" s="7"/>
      <c r="B33" s="7"/>
      <c r="C33" s="8" t="str">
        <f t="shared" si="0"/>
        <v/>
      </c>
      <c r="D33" s="8" t="str">
        <f t="shared" si="1"/>
        <v/>
      </c>
      <c r="E33" s="8" t="str">
        <f t="shared" si="2"/>
        <v/>
      </c>
      <c r="F33" s="8" t="str">
        <f t="shared" si="3"/>
        <v/>
      </c>
      <c r="G33" s="8" t="str">
        <f t="shared" si="4"/>
        <v/>
      </c>
      <c r="H33" s="8" t="str">
        <f t="shared" si="5"/>
        <v/>
      </c>
    </row>
    <row r="34" spans="1:14" ht="21" customHeight="1" x14ac:dyDescent="0.25">
      <c r="A34" s="7"/>
      <c r="B34" s="7"/>
      <c r="C34" s="8" t="str">
        <f t="shared" si="0"/>
        <v/>
      </c>
      <c r="D34" s="8" t="str">
        <f t="shared" si="1"/>
        <v/>
      </c>
      <c r="E34" s="8" t="str">
        <f t="shared" si="2"/>
        <v/>
      </c>
      <c r="F34" s="8" t="str">
        <f t="shared" si="3"/>
        <v/>
      </c>
      <c r="G34" s="8" t="str">
        <f t="shared" si="4"/>
        <v/>
      </c>
      <c r="H34" s="8" t="str">
        <f t="shared" si="5"/>
        <v/>
      </c>
    </row>
    <row r="35" spans="1:14" ht="21" customHeight="1" x14ac:dyDescent="0.25">
      <c r="A35" s="7"/>
      <c r="B35" s="7"/>
      <c r="C35" s="8" t="str">
        <f t="shared" si="0"/>
        <v/>
      </c>
      <c r="D35" s="8" t="str">
        <f t="shared" si="1"/>
        <v/>
      </c>
      <c r="E35" s="8" t="str">
        <f t="shared" si="2"/>
        <v/>
      </c>
      <c r="F35" s="8" t="str">
        <f t="shared" si="3"/>
        <v/>
      </c>
      <c r="G35" s="8" t="str">
        <f t="shared" si="4"/>
        <v/>
      </c>
      <c r="H35" s="8" t="str">
        <f t="shared" si="5"/>
        <v/>
      </c>
    </row>
    <row r="36" spans="1:14" ht="21" customHeight="1" x14ac:dyDescent="0.25">
      <c r="A36" s="7"/>
      <c r="B36" s="7"/>
      <c r="C36" s="8" t="str">
        <f t="shared" si="0"/>
        <v/>
      </c>
      <c r="D36" s="8" t="str">
        <f t="shared" si="1"/>
        <v/>
      </c>
      <c r="E36" s="8" t="str">
        <f t="shared" si="2"/>
        <v/>
      </c>
      <c r="F36" s="8" t="str">
        <f t="shared" si="3"/>
        <v/>
      </c>
      <c r="G36" s="8" t="str">
        <f t="shared" si="4"/>
        <v/>
      </c>
      <c r="H36" s="8" t="str">
        <f t="shared" si="5"/>
        <v/>
      </c>
    </row>
    <row r="37" spans="1:14" ht="21" customHeight="1" x14ac:dyDescent="0.25">
      <c r="A37" s="7"/>
      <c r="B37" s="7"/>
      <c r="C37" s="8" t="str">
        <f t="shared" si="0"/>
        <v/>
      </c>
      <c r="D37" s="8" t="str">
        <f t="shared" si="1"/>
        <v/>
      </c>
      <c r="E37" s="8" t="str">
        <f t="shared" si="2"/>
        <v/>
      </c>
      <c r="F37" s="8" t="str">
        <f t="shared" si="3"/>
        <v/>
      </c>
      <c r="G37" s="8" t="str">
        <f t="shared" si="4"/>
        <v/>
      </c>
      <c r="H37" s="8" t="str">
        <f t="shared" si="5"/>
        <v/>
      </c>
    </row>
    <row r="38" spans="1:14" ht="21" customHeight="1" x14ac:dyDescent="0.25">
      <c r="A38" s="7"/>
      <c r="B38" s="7"/>
      <c r="C38" s="8" t="str">
        <f t="shared" si="0"/>
        <v/>
      </c>
      <c r="D38" s="8" t="str">
        <f t="shared" si="1"/>
        <v/>
      </c>
      <c r="E38" s="8" t="str">
        <f t="shared" si="2"/>
        <v/>
      </c>
      <c r="F38" s="8" t="str">
        <f t="shared" si="3"/>
        <v/>
      </c>
      <c r="G38" s="8" t="str">
        <f t="shared" si="4"/>
        <v/>
      </c>
      <c r="H38" s="8" t="str">
        <f t="shared" si="5"/>
        <v/>
      </c>
    </row>
    <row r="39" spans="1:14" ht="21" customHeight="1" x14ac:dyDescent="0.25">
      <c r="A39" s="7"/>
      <c r="B39" s="7"/>
      <c r="C39" s="8" t="str">
        <f t="shared" si="0"/>
        <v/>
      </c>
      <c r="D39" s="8" t="str">
        <f t="shared" si="1"/>
        <v/>
      </c>
      <c r="E39" s="8" t="str">
        <f t="shared" si="2"/>
        <v/>
      </c>
      <c r="F39" s="8" t="str">
        <f t="shared" si="3"/>
        <v/>
      </c>
      <c r="G39" s="8" t="str">
        <f t="shared" si="4"/>
        <v/>
      </c>
      <c r="H39" s="8" t="str">
        <f t="shared" si="5"/>
        <v/>
      </c>
    </row>
    <row r="40" spans="1:14" ht="21" customHeight="1" x14ac:dyDescent="0.25">
      <c r="A40" s="7"/>
      <c r="B40" s="7"/>
      <c r="C40" s="8" t="str">
        <f t="shared" si="0"/>
        <v/>
      </c>
      <c r="D40" s="8" t="str">
        <f t="shared" si="1"/>
        <v/>
      </c>
      <c r="E40" s="8" t="str">
        <f t="shared" si="2"/>
        <v/>
      </c>
      <c r="F40" s="8" t="str">
        <f t="shared" si="3"/>
        <v/>
      </c>
      <c r="G40" s="8" t="str">
        <f t="shared" si="4"/>
        <v/>
      </c>
      <c r="H40" s="8" t="str">
        <f t="shared" si="5"/>
        <v/>
      </c>
    </row>
    <row r="41" spans="1:14" ht="21" customHeight="1" x14ac:dyDescent="0.25">
      <c r="A41" s="7"/>
      <c r="B41" s="7"/>
      <c r="C41" s="8" t="str">
        <f t="shared" si="0"/>
        <v/>
      </c>
      <c r="D41" s="8" t="str">
        <f t="shared" si="1"/>
        <v/>
      </c>
      <c r="E41" s="8" t="str">
        <f t="shared" si="2"/>
        <v/>
      </c>
      <c r="F41" s="8" t="str">
        <f t="shared" si="3"/>
        <v/>
      </c>
      <c r="G41" s="8" t="str">
        <f t="shared" si="4"/>
        <v/>
      </c>
      <c r="H41" s="8" t="str">
        <f t="shared" si="5"/>
        <v/>
      </c>
    </row>
    <row r="42" spans="1:14" ht="21" customHeight="1" x14ac:dyDescent="0.25">
      <c r="A42" s="11" t="s">
        <v>47</v>
      </c>
      <c r="B42" s="12">
        <f>SUM(B7:B41)</f>
        <v>0</v>
      </c>
      <c r="C42" s="12">
        <f>SUM(C7:C41)</f>
        <v>0</v>
      </c>
      <c r="D42" s="12">
        <f>SUM(D7:D41)</f>
        <v>0</v>
      </c>
      <c r="E42" s="12">
        <f>SUM(E7:E41)</f>
        <v>0</v>
      </c>
      <c r="F42" s="13"/>
      <c r="G42" s="13"/>
      <c r="H42" s="12">
        <f>SUM(H7:H41)</f>
        <v>0</v>
      </c>
      <c r="I42" s="13"/>
      <c r="J42" s="13"/>
      <c r="K42" s="13"/>
      <c r="L42" s="13"/>
      <c r="M42" s="13"/>
      <c r="N42" s="13"/>
    </row>
    <row r="43" spans="1:14" ht="21" customHeight="1" x14ac:dyDescent="0.25"/>
    <row r="44" spans="1:14" ht="21" customHeight="1" x14ac:dyDescent="0.25"/>
  </sheetData>
  <mergeCells count="4">
    <mergeCell ref="A4:H4"/>
    <mergeCell ref="J4:L4"/>
    <mergeCell ref="A2:N2"/>
    <mergeCell ref="A1:N1"/>
  </mergeCells>
  <pageMargins left="0.75" right="0.75" top="1" bottom="1" header="0.5" footer="0.5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4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11" customWidth="1"/>
    <col min="2" max="5" width="12" customWidth="1"/>
    <col min="6" max="6" width="14" customWidth="1"/>
    <col min="7" max="8" width="12" customWidth="1"/>
    <col min="10" max="10" width="18" customWidth="1"/>
    <col min="11" max="11" width="16" customWidth="1"/>
    <col min="12" max="12" width="40" customWidth="1"/>
  </cols>
  <sheetData>
    <row r="1" spans="1:14" ht="24" customHeight="1" x14ac:dyDescent="0.25">
      <c r="A1" s="18" t="s">
        <v>73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24" customHeight="1" x14ac:dyDescent="0.25">
      <c r="A2" s="24" t="s">
        <v>74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1" customHeight="1" x14ac:dyDescent="0.25"/>
    <row r="4" spans="1:14" ht="21" customHeight="1" x14ac:dyDescent="0.25">
      <c r="A4" s="19" t="s">
        <v>21</v>
      </c>
      <c r="B4" s="19"/>
      <c r="C4" s="19"/>
      <c r="D4" s="19"/>
      <c r="E4" s="19"/>
      <c r="F4" s="19"/>
      <c r="G4" s="19"/>
      <c r="H4" s="19"/>
      <c r="J4" s="19" t="s">
        <v>65</v>
      </c>
      <c r="K4" s="19"/>
      <c r="L4" s="19"/>
    </row>
    <row r="5" spans="1:14" ht="21" customHeight="1" x14ac:dyDescent="0.25">
      <c r="A5" s="3" t="s">
        <v>23</v>
      </c>
    </row>
    <row r="6" spans="1:14" ht="24" customHeight="1" x14ac:dyDescent="0.25">
      <c r="A6" s="2" t="s">
        <v>24</v>
      </c>
      <c r="B6" s="2" t="s">
        <v>25</v>
      </c>
      <c r="C6" s="2" t="s">
        <v>75</v>
      </c>
      <c r="D6" s="2" t="s">
        <v>76</v>
      </c>
      <c r="E6" s="2" t="s">
        <v>26</v>
      </c>
      <c r="F6" s="2" t="s">
        <v>28</v>
      </c>
      <c r="G6" s="2" t="s">
        <v>29</v>
      </c>
      <c r="H6" s="2" t="s">
        <v>30</v>
      </c>
      <c r="J6" s="4" t="s">
        <v>32</v>
      </c>
      <c r="K6" s="5">
        <f>COUNTA(A7:A41)</f>
        <v>0</v>
      </c>
    </row>
    <row r="7" spans="1:14" ht="21" customHeight="1" x14ac:dyDescent="0.25">
      <c r="A7" s="7"/>
      <c r="B7" s="7"/>
      <c r="C7" s="8" t="str">
        <f t="shared" ref="C7:C41" si="0">IF(OR(A7="",B7=""),"",LN(B7))</f>
        <v/>
      </c>
      <c r="D7" s="8" t="str">
        <f t="shared" ref="D7:D41" si="1">IF(C7="","",A7*C7)</f>
        <v/>
      </c>
      <c r="E7" s="8" t="str">
        <f t="shared" ref="E7:E41" si="2">IF(OR(A7="",B7=""),"",A7^2)</f>
        <v/>
      </c>
      <c r="F7" s="8" t="str">
        <f t="shared" ref="F7:F41" si="3">IF(OR(A7="",B7=""),"",$K$9*EXP($K$10*A7))</f>
        <v/>
      </c>
      <c r="G7" s="8" t="str">
        <f t="shared" ref="G7:G41" si="4">IF(F7="","",B7-F7)</f>
        <v/>
      </c>
      <c r="H7" s="8" t="str">
        <f t="shared" ref="H7:H41" si="5">IF(G7="","",G7^2)</f>
        <v/>
      </c>
      <c r="J7" s="4" t="s">
        <v>77</v>
      </c>
      <c r="K7" s="16" t="s">
        <v>70</v>
      </c>
    </row>
    <row r="8" spans="1:14" ht="21" customHeight="1" x14ac:dyDescent="0.25">
      <c r="A8" s="7"/>
      <c r="B8" s="7"/>
      <c r="C8" s="8" t="str">
        <f t="shared" si="0"/>
        <v/>
      </c>
      <c r="D8" s="8" t="str">
        <f t="shared" si="1"/>
        <v/>
      </c>
      <c r="E8" s="8" t="str">
        <f t="shared" si="2"/>
        <v/>
      </c>
      <c r="F8" s="8" t="str">
        <f t="shared" si="3"/>
        <v/>
      </c>
      <c r="G8" s="8" t="str">
        <f t="shared" si="4"/>
        <v/>
      </c>
      <c r="H8" s="8" t="str">
        <f t="shared" si="5"/>
        <v/>
      </c>
      <c r="J8" s="4" t="s">
        <v>78</v>
      </c>
      <c r="K8" s="5" t="str">
        <f>IF(K6&lt;2,"",(C42-K10*A42)/K6)</f>
        <v/>
      </c>
    </row>
    <row r="9" spans="1:14" ht="21" customHeight="1" x14ac:dyDescent="0.25">
      <c r="A9" s="7"/>
      <c r="B9" s="7"/>
      <c r="C9" s="8" t="str">
        <f t="shared" si="0"/>
        <v/>
      </c>
      <c r="D9" s="8" t="str">
        <f t="shared" si="1"/>
        <v/>
      </c>
      <c r="E9" s="8" t="str">
        <f t="shared" si="2"/>
        <v/>
      </c>
      <c r="F9" s="8" t="str">
        <f t="shared" si="3"/>
        <v/>
      </c>
      <c r="G9" s="8" t="str">
        <f t="shared" si="4"/>
        <v/>
      </c>
      <c r="H9" s="8" t="str">
        <f t="shared" si="5"/>
        <v/>
      </c>
      <c r="J9" s="4" t="s">
        <v>57</v>
      </c>
      <c r="K9" s="5" t="str">
        <f>IF(K8="","",EXP(K8))</f>
        <v/>
      </c>
    </row>
    <row r="10" spans="1:14" ht="21" customHeight="1" x14ac:dyDescent="0.25">
      <c r="A10" s="7"/>
      <c r="B10" s="7"/>
      <c r="C10" s="8" t="str">
        <f t="shared" si="0"/>
        <v/>
      </c>
      <c r="D10" s="8" t="str">
        <f t="shared" si="1"/>
        <v/>
      </c>
      <c r="E10" s="8" t="str">
        <f t="shared" si="2"/>
        <v/>
      </c>
      <c r="F10" s="8" t="str">
        <f t="shared" si="3"/>
        <v/>
      </c>
      <c r="G10" s="8" t="str">
        <f t="shared" si="4"/>
        <v/>
      </c>
      <c r="H10" s="8" t="str">
        <f t="shared" si="5"/>
        <v/>
      </c>
      <c r="J10" s="4" t="s">
        <v>36</v>
      </c>
      <c r="K10" s="5" t="str">
        <f>IF(K6&lt;2,"",(K6*D42-A42*C42)/(K6*E42-A42^2))</f>
        <v/>
      </c>
    </row>
    <row r="11" spans="1:14" ht="21" customHeight="1" x14ac:dyDescent="0.25">
      <c r="A11" s="7"/>
      <c r="B11" s="7"/>
      <c r="C11" s="8" t="str">
        <f t="shared" si="0"/>
        <v/>
      </c>
      <c r="D11" s="8" t="str">
        <f t="shared" si="1"/>
        <v/>
      </c>
      <c r="E11" s="8" t="str">
        <f t="shared" si="2"/>
        <v/>
      </c>
      <c r="F11" s="8" t="str">
        <f t="shared" si="3"/>
        <v/>
      </c>
      <c r="G11" s="8" t="str">
        <f t="shared" si="4"/>
        <v/>
      </c>
      <c r="H11" s="8" t="str">
        <f t="shared" si="5"/>
        <v/>
      </c>
      <c r="J11" s="4" t="s">
        <v>38</v>
      </c>
      <c r="K11" s="5" t="str">
        <f>IF(K6&lt;2,"",1-SUM(H7:H41)/DEVSQ(B7:B41))</f>
        <v/>
      </c>
    </row>
    <row r="12" spans="1:14" ht="21" customHeight="1" x14ac:dyDescent="0.25">
      <c r="A12" s="7"/>
      <c r="B12" s="7"/>
      <c r="C12" s="8" t="str">
        <f t="shared" si="0"/>
        <v/>
      </c>
      <c r="D12" s="8" t="str">
        <f t="shared" si="1"/>
        <v/>
      </c>
      <c r="E12" s="8" t="str">
        <f t="shared" si="2"/>
        <v/>
      </c>
      <c r="F12" s="8" t="str">
        <f t="shared" si="3"/>
        <v/>
      </c>
      <c r="G12" s="8" t="str">
        <f t="shared" si="4"/>
        <v/>
      </c>
      <c r="H12" s="8" t="str">
        <f t="shared" si="5"/>
        <v/>
      </c>
      <c r="J12" s="4" t="s">
        <v>40</v>
      </c>
      <c r="K12" s="5" t="str">
        <f>IF(K6=0,"",SUM(H7:H41)/K6)</f>
        <v/>
      </c>
    </row>
    <row r="13" spans="1:14" ht="21" customHeight="1" x14ac:dyDescent="0.25">
      <c r="A13" s="7"/>
      <c r="B13" s="7"/>
      <c r="C13" s="8" t="str">
        <f t="shared" si="0"/>
        <v/>
      </c>
      <c r="D13" s="8" t="str">
        <f t="shared" si="1"/>
        <v/>
      </c>
      <c r="E13" s="8" t="str">
        <f t="shared" si="2"/>
        <v/>
      </c>
      <c r="F13" s="8" t="str">
        <f t="shared" si="3"/>
        <v/>
      </c>
      <c r="G13" s="8" t="str">
        <f t="shared" si="4"/>
        <v/>
      </c>
      <c r="H13" s="8" t="str">
        <f t="shared" si="5"/>
        <v/>
      </c>
    </row>
    <row r="14" spans="1:14" ht="21" customHeight="1" x14ac:dyDescent="0.25">
      <c r="A14" s="7"/>
      <c r="B14" s="7"/>
      <c r="C14" s="8" t="str">
        <f t="shared" si="0"/>
        <v/>
      </c>
      <c r="D14" s="8" t="str">
        <f t="shared" si="1"/>
        <v/>
      </c>
      <c r="E14" s="8" t="str">
        <f t="shared" si="2"/>
        <v/>
      </c>
      <c r="F14" s="8" t="str">
        <f t="shared" si="3"/>
        <v/>
      </c>
      <c r="G14" s="8" t="str">
        <f t="shared" si="4"/>
        <v/>
      </c>
      <c r="H14" s="8" t="str">
        <f t="shared" si="5"/>
        <v/>
      </c>
      <c r="J14" s="1" t="s">
        <v>46</v>
      </c>
      <c r="K14" s="10" t="str">
        <f>IF(K6&lt;2,"","y = "&amp;TEXT(K9,"0.000000")&amp;" e^("&amp;TEXT(K10,"0.000000")&amp;" x)")</f>
        <v/>
      </c>
    </row>
    <row r="15" spans="1:14" ht="21" customHeight="1" x14ac:dyDescent="0.25">
      <c r="A15" s="7"/>
      <c r="B15" s="7"/>
      <c r="C15" s="8" t="str">
        <f t="shared" si="0"/>
        <v/>
      </c>
      <c r="D15" s="8" t="str">
        <f t="shared" si="1"/>
        <v/>
      </c>
      <c r="E15" s="8" t="str">
        <f t="shared" si="2"/>
        <v/>
      </c>
      <c r="F15" s="8" t="str">
        <f t="shared" si="3"/>
        <v/>
      </c>
      <c r="G15" s="8" t="str">
        <f t="shared" si="4"/>
        <v/>
      </c>
      <c r="H15" s="8" t="str">
        <f t="shared" si="5"/>
        <v/>
      </c>
    </row>
    <row r="16" spans="1:14" ht="21" customHeight="1" x14ac:dyDescent="0.25">
      <c r="A16" s="7"/>
      <c r="B16" s="7"/>
      <c r="C16" s="8" t="str">
        <f t="shared" si="0"/>
        <v/>
      </c>
      <c r="D16" s="8" t="str">
        <f t="shared" si="1"/>
        <v/>
      </c>
      <c r="E16" s="8" t="str">
        <f t="shared" si="2"/>
        <v/>
      </c>
      <c r="F16" s="8" t="str">
        <f t="shared" si="3"/>
        <v/>
      </c>
      <c r="G16" s="8" t="str">
        <f t="shared" si="4"/>
        <v/>
      </c>
      <c r="H16" s="8" t="str">
        <f t="shared" si="5"/>
        <v/>
      </c>
      <c r="J16" s="6" t="s">
        <v>79</v>
      </c>
      <c r="K16" s="17" t="e">
        <f>(n*SUM(xY)-SUM(X)*SUM(y))/(n*SUM(X^2)-SUM(X)^2)</f>
        <v>#NAME?</v>
      </c>
    </row>
    <row r="17" spans="1:11" ht="21" customHeight="1" x14ac:dyDescent="0.25">
      <c r="A17" s="7"/>
      <c r="B17" s="7"/>
      <c r="C17" s="8" t="str">
        <f t="shared" si="0"/>
        <v/>
      </c>
      <c r="D17" s="8" t="str">
        <f t="shared" si="1"/>
        <v/>
      </c>
      <c r="E17" s="8" t="str">
        <f t="shared" si="2"/>
        <v/>
      </c>
      <c r="F17" s="8" t="str">
        <f t="shared" si="3"/>
        <v/>
      </c>
      <c r="G17" s="8" t="str">
        <f t="shared" si="4"/>
        <v/>
      </c>
      <c r="H17" s="8" t="str">
        <f t="shared" si="5"/>
        <v/>
      </c>
      <c r="J17" s="6" t="s">
        <v>80</v>
      </c>
      <c r="K17" s="17" t="e">
        <f>(SUM(y)-b*SUM(X))/n</f>
        <v>#NAME?</v>
      </c>
    </row>
    <row r="18" spans="1:11" ht="21" customHeight="1" x14ac:dyDescent="0.25">
      <c r="A18" s="7"/>
      <c r="B18" s="7"/>
      <c r="C18" s="8" t="str">
        <f t="shared" si="0"/>
        <v/>
      </c>
      <c r="D18" s="8" t="str">
        <f t="shared" si="1"/>
        <v/>
      </c>
      <c r="E18" s="8" t="str">
        <f t="shared" si="2"/>
        <v/>
      </c>
      <c r="F18" s="8" t="str">
        <f t="shared" si="3"/>
        <v/>
      </c>
      <c r="G18" s="8" t="str">
        <f t="shared" si="4"/>
        <v/>
      </c>
      <c r="H18" s="8" t="str">
        <f t="shared" si="5"/>
        <v/>
      </c>
      <c r="J18" s="6" t="s">
        <v>81</v>
      </c>
      <c r="K18" s="17" t="e">
        <f>EXP(LN(a))</f>
        <v>#NAME?</v>
      </c>
    </row>
    <row r="19" spans="1:11" ht="21" customHeight="1" x14ac:dyDescent="0.25">
      <c r="A19" s="7"/>
      <c r="B19" s="7"/>
      <c r="C19" s="8" t="str">
        <f t="shared" si="0"/>
        <v/>
      </c>
      <c r="D19" s="8" t="str">
        <f t="shared" si="1"/>
        <v/>
      </c>
      <c r="E19" s="8" t="str">
        <f t="shared" si="2"/>
        <v/>
      </c>
      <c r="F19" s="8" t="str">
        <f t="shared" si="3"/>
        <v/>
      </c>
      <c r="G19" s="8" t="str">
        <f t="shared" si="4"/>
        <v/>
      </c>
      <c r="H19" s="8" t="str">
        <f t="shared" si="5"/>
        <v/>
      </c>
    </row>
    <row r="20" spans="1:11" ht="21" customHeight="1" x14ac:dyDescent="0.25">
      <c r="A20" s="7"/>
      <c r="B20" s="7"/>
      <c r="C20" s="8" t="str">
        <f t="shared" si="0"/>
        <v/>
      </c>
      <c r="D20" s="8" t="str">
        <f t="shared" si="1"/>
        <v/>
      </c>
      <c r="E20" s="8" t="str">
        <f t="shared" si="2"/>
        <v/>
      </c>
      <c r="F20" s="8" t="str">
        <f t="shared" si="3"/>
        <v/>
      </c>
      <c r="G20" s="8" t="str">
        <f t="shared" si="4"/>
        <v/>
      </c>
      <c r="H20" s="8" t="str">
        <f t="shared" si="5"/>
        <v/>
      </c>
    </row>
    <row r="21" spans="1:11" ht="21" customHeight="1" x14ac:dyDescent="0.25">
      <c r="A21" s="7"/>
      <c r="B21" s="7"/>
      <c r="C21" s="8" t="str">
        <f t="shared" si="0"/>
        <v/>
      </c>
      <c r="D21" s="8" t="str">
        <f t="shared" si="1"/>
        <v/>
      </c>
      <c r="E21" s="8" t="str">
        <f t="shared" si="2"/>
        <v/>
      </c>
      <c r="F21" s="8" t="str">
        <f t="shared" si="3"/>
        <v/>
      </c>
      <c r="G21" s="8" t="str">
        <f t="shared" si="4"/>
        <v/>
      </c>
      <c r="H21" s="8" t="str">
        <f t="shared" si="5"/>
        <v/>
      </c>
    </row>
    <row r="22" spans="1:11" ht="21" customHeight="1" x14ac:dyDescent="0.25">
      <c r="A22" s="7"/>
      <c r="B22" s="7"/>
      <c r="C22" s="8" t="str">
        <f t="shared" si="0"/>
        <v/>
      </c>
      <c r="D22" s="8" t="str">
        <f t="shared" si="1"/>
        <v/>
      </c>
      <c r="E22" s="8" t="str">
        <f t="shared" si="2"/>
        <v/>
      </c>
      <c r="F22" s="8" t="str">
        <f t="shared" si="3"/>
        <v/>
      </c>
      <c r="G22" s="8" t="str">
        <f t="shared" si="4"/>
        <v/>
      </c>
      <c r="H22" s="8" t="str">
        <f t="shared" si="5"/>
        <v/>
      </c>
    </row>
    <row r="23" spans="1:11" ht="21" customHeight="1" x14ac:dyDescent="0.25">
      <c r="A23" s="7"/>
      <c r="B23" s="7"/>
      <c r="C23" s="8" t="str">
        <f t="shared" si="0"/>
        <v/>
      </c>
      <c r="D23" s="8" t="str">
        <f t="shared" si="1"/>
        <v/>
      </c>
      <c r="E23" s="8" t="str">
        <f t="shared" si="2"/>
        <v/>
      </c>
      <c r="F23" s="8" t="str">
        <f t="shared" si="3"/>
        <v/>
      </c>
      <c r="G23" s="8" t="str">
        <f t="shared" si="4"/>
        <v/>
      </c>
      <c r="H23" s="8" t="str">
        <f t="shared" si="5"/>
        <v/>
      </c>
    </row>
    <row r="24" spans="1:11" ht="21" customHeight="1" x14ac:dyDescent="0.25">
      <c r="A24" s="7"/>
      <c r="B24" s="7"/>
      <c r="C24" s="8" t="str">
        <f t="shared" si="0"/>
        <v/>
      </c>
      <c r="D24" s="8" t="str">
        <f t="shared" si="1"/>
        <v/>
      </c>
      <c r="E24" s="8" t="str">
        <f t="shared" si="2"/>
        <v/>
      </c>
      <c r="F24" s="8" t="str">
        <f t="shared" si="3"/>
        <v/>
      </c>
      <c r="G24" s="8" t="str">
        <f t="shared" si="4"/>
        <v/>
      </c>
      <c r="H24" s="8" t="str">
        <f t="shared" si="5"/>
        <v/>
      </c>
    </row>
    <row r="25" spans="1:11" ht="21" customHeight="1" x14ac:dyDescent="0.25">
      <c r="A25" s="7"/>
      <c r="B25" s="7"/>
      <c r="C25" s="8" t="str">
        <f t="shared" si="0"/>
        <v/>
      </c>
      <c r="D25" s="8" t="str">
        <f t="shared" si="1"/>
        <v/>
      </c>
      <c r="E25" s="8" t="str">
        <f t="shared" si="2"/>
        <v/>
      </c>
      <c r="F25" s="8" t="str">
        <f t="shared" si="3"/>
        <v/>
      </c>
      <c r="G25" s="8" t="str">
        <f t="shared" si="4"/>
        <v/>
      </c>
      <c r="H25" s="8" t="str">
        <f t="shared" si="5"/>
        <v/>
      </c>
    </row>
    <row r="26" spans="1:11" ht="21" customHeight="1" x14ac:dyDescent="0.25">
      <c r="A26" s="7"/>
      <c r="B26" s="7"/>
      <c r="C26" s="8" t="str">
        <f t="shared" si="0"/>
        <v/>
      </c>
      <c r="D26" s="8" t="str">
        <f t="shared" si="1"/>
        <v/>
      </c>
      <c r="E26" s="8" t="str">
        <f t="shared" si="2"/>
        <v/>
      </c>
      <c r="F26" s="8" t="str">
        <f t="shared" si="3"/>
        <v/>
      </c>
      <c r="G26" s="8" t="str">
        <f t="shared" si="4"/>
        <v/>
      </c>
      <c r="H26" s="8" t="str">
        <f t="shared" si="5"/>
        <v/>
      </c>
    </row>
    <row r="27" spans="1:11" ht="21" customHeight="1" x14ac:dyDescent="0.25">
      <c r="A27" s="7"/>
      <c r="B27" s="7"/>
      <c r="C27" s="8" t="str">
        <f t="shared" si="0"/>
        <v/>
      </c>
      <c r="D27" s="8" t="str">
        <f t="shared" si="1"/>
        <v/>
      </c>
      <c r="E27" s="8" t="str">
        <f t="shared" si="2"/>
        <v/>
      </c>
      <c r="F27" s="8" t="str">
        <f t="shared" si="3"/>
        <v/>
      </c>
      <c r="G27" s="8" t="str">
        <f t="shared" si="4"/>
        <v/>
      </c>
      <c r="H27" s="8" t="str">
        <f t="shared" si="5"/>
        <v/>
      </c>
    </row>
    <row r="28" spans="1:11" ht="21" customHeight="1" x14ac:dyDescent="0.25">
      <c r="A28" s="7"/>
      <c r="B28" s="7"/>
      <c r="C28" s="8" t="str">
        <f t="shared" si="0"/>
        <v/>
      </c>
      <c r="D28" s="8" t="str">
        <f t="shared" si="1"/>
        <v/>
      </c>
      <c r="E28" s="8" t="str">
        <f t="shared" si="2"/>
        <v/>
      </c>
      <c r="F28" s="8" t="str">
        <f t="shared" si="3"/>
        <v/>
      </c>
      <c r="G28" s="8" t="str">
        <f t="shared" si="4"/>
        <v/>
      </c>
      <c r="H28" s="8" t="str">
        <f t="shared" si="5"/>
        <v/>
      </c>
    </row>
    <row r="29" spans="1:11" ht="21" customHeight="1" x14ac:dyDescent="0.25">
      <c r="A29" s="7"/>
      <c r="B29" s="7"/>
      <c r="C29" s="8" t="str">
        <f t="shared" si="0"/>
        <v/>
      </c>
      <c r="D29" s="8" t="str">
        <f t="shared" si="1"/>
        <v/>
      </c>
      <c r="E29" s="8" t="str">
        <f t="shared" si="2"/>
        <v/>
      </c>
      <c r="F29" s="8" t="str">
        <f t="shared" si="3"/>
        <v/>
      </c>
      <c r="G29" s="8" t="str">
        <f t="shared" si="4"/>
        <v/>
      </c>
      <c r="H29" s="8" t="str">
        <f t="shared" si="5"/>
        <v/>
      </c>
    </row>
    <row r="30" spans="1:11" ht="21" customHeight="1" x14ac:dyDescent="0.25">
      <c r="A30" s="7"/>
      <c r="B30" s="7"/>
      <c r="C30" s="8" t="str">
        <f t="shared" si="0"/>
        <v/>
      </c>
      <c r="D30" s="8" t="str">
        <f t="shared" si="1"/>
        <v/>
      </c>
      <c r="E30" s="8" t="str">
        <f t="shared" si="2"/>
        <v/>
      </c>
      <c r="F30" s="8" t="str">
        <f t="shared" si="3"/>
        <v/>
      </c>
      <c r="G30" s="8" t="str">
        <f t="shared" si="4"/>
        <v/>
      </c>
      <c r="H30" s="8" t="str">
        <f t="shared" si="5"/>
        <v/>
      </c>
    </row>
    <row r="31" spans="1:11" ht="21" customHeight="1" x14ac:dyDescent="0.25">
      <c r="A31" s="7"/>
      <c r="B31" s="7"/>
      <c r="C31" s="8" t="str">
        <f t="shared" si="0"/>
        <v/>
      </c>
      <c r="D31" s="8" t="str">
        <f t="shared" si="1"/>
        <v/>
      </c>
      <c r="E31" s="8" t="str">
        <f t="shared" si="2"/>
        <v/>
      </c>
      <c r="F31" s="8" t="str">
        <f t="shared" si="3"/>
        <v/>
      </c>
      <c r="G31" s="8" t="str">
        <f t="shared" si="4"/>
        <v/>
      </c>
      <c r="H31" s="8" t="str">
        <f t="shared" si="5"/>
        <v/>
      </c>
    </row>
    <row r="32" spans="1:11" ht="21" customHeight="1" x14ac:dyDescent="0.25">
      <c r="A32" s="7"/>
      <c r="B32" s="7"/>
      <c r="C32" s="8" t="str">
        <f t="shared" si="0"/>
        <v/>
      </c>
      <c r="D32" s="8" t="str">
        <f t="shared" si="1"/>
        <v/>
      </c>
      <c r="E32" s="8" t="str">
        <f t="shared" si="2"/>
        <v/>
      </c>
      <c r="F32" s="8" t="str">
        <f t="shared" si="3"/>
        <v/>
      </c>
      <c r="G32" s="8" t="str">
        <f t="shared" si="4"/>
        <v/>
      </c>
      <c r="H32" s="8" t="str">
        <f t="shared" si="5"/>
        <v/>
      </c>
    </row>
    <row r="33" spans="1:14" ht="21" customHeight="1" x14ac:dyDescent="0.25">
      <c r="A33" s="7"/>
      <c r="B33" s="7"/>
      <c r="C33" s="8" t="str">
        <f t="shared" si="0"/>
        <v/>
      </c>
      <c r="D33" s="8" t="str">
        <f t="shared" si="1"/>
        <v/>
      </c>
      <c r="E33" s="8" t="str">
        <f t="shared" si="2"/>
        <v/>
      </c>
      <c r="F33" s="8" t="str">
        <f t="shared" si="3"/>
        <v/>
      </c>
      <c r="G33" s="8" t="str">
        <f t="shared" si="4"/>
        <v/>
      </c>
      <c r="H33" s="8" t="str">
        <f t="shared" si="5"/>
        <v/>
      </c>
    </row>
    <row r="34" spans="1:14" ht="21" customHeight="1" x14ac:dyDescent="0.25">
      <c r="A34" s="7"/>
      <c r="B34" s="7"/>
      <c r="C34" s="8" t="str">
        <f t="shared" si="0"/>
        <v/>
      </c>
      <c r="D34" s="8" t="str">
        <f t="shared" si="1"/>
        <v/>
      </c>
      <c r="E34" s="8" t="str">
        <f t="shared" si="2"/>
        <v/>
      </c>
      <c r="F34" s="8" t="str">
        <f t="shared" si="3"/>
        <v/>
      </c>
      <c r="G34" s="8" t="str">
        <f t="shared" si="4"/>
        <v/>
      </c>
      <c r="H34" s="8" t="str">
        <f t="shared" si="5"/>
        <v/>
      </c>
    </row>
    <row r="35" spans="1:14" ht="21" customHeight="1" x14ac:dyDescent="0.25">
      <c r="A35" s="7"/>
      <c r="B35" s="7"/>
      <c r="C35" s="8" t="str">
        <f t="shared" si="0"/>
        <v/>
      </c>
      <c r="D35" s="8" t="str">
        <f t="shared" si="1"/>
        <v/>
      </c>
      <c r="E35" s="8" t="str">
        <f t="shared" si="2"/>
        <v/>
      </c>
      <c r="F35" s="8" t="str">
        <f t="shared" si="3"/>
        <v/>
      </c>
      <c r="G35" s="8" t="str">
        <f t="shared" si="4"/>
        <v/>
      </c>
      <c r="H35" s="8" t="str">
        <f t="shared" si="5"/>
        <v/>
      </c>
    </row>
    <row r="36" spans="1:14" ht="21" customHeight="1" x14ac:dyDescent="0.25">
      <c r="A36" s="7"/>
      <c r="B36" s="7"/>
      <c r="C36" s="8" t="str">
        <f t="shared" si="0"/>
        <v/>
      </c>
      <c r="D36" s="8" t="str">
        <f t="shared" si="1"/>
        <v/>
      </c>
      <c r="E36" s="8" t="str">
        <f t="shared" si="2"/>
        <v/>
      </c>
      <c r="F36" s="8" t="str">
        <f t="shared" si="3"/>
        <v/>
      </c>
      <c r="G36" s="8" t="str">
        <f t="shared" si="4"/>
        <v/>
      </c>
      <c r="H36" s="8" t="str">
        <f t="shared" si="5"/>
        <v/>
      </c>
    </row>
    <row r="37" spans="1:14" ht="21" customHeight="1" x14ac:dyDescent="0.25">
      <c r="A37" s="7"/>
      <c r="B37" s="7"/>
      <c r="C37" s="8" t="str">
        <f t="shared" si="0"/>
        <v/>
      </c>
      <c r="D37" s="8" t="str">
        <f t="shared" si="1"/>
        <v/>
      </c>
      <c r="E37" s="8" t="str">
        <f t="shared" si="2"/>
        <v/>
      </c>
      <c r="F37" s="8" t="str">
        <f t="shared" si="3"/>
        <v/>
      </c>
      <c r="G37" s="8" t="str">
        <f t="shared" si="4"/>
        <v/>
      </c>
      <c r="H37" s="8" t="str">
        <f t="shared" si="5"/>
        <v/>
      </c>
    </row>
    <row r="38" spans="1:14" ht="21" customHeight="1" x14ac:dyDescent="0.25">
      <c r="A38" s="7"/>
      <c r="B38" s="7"/>
      <c r="C38" s="8" t="str">
        <f t="shared" si="0"/>
        <v/>
      </c>
      <c r="D38" s="8" t="str">
        <f t="shared" si="1"/>
        <v/>
      </c>
      <c r="E38" s="8" t="str">
        <f t="shared" si="2"/>
        <v/>
      </c>
      <c r="F38" s="8" t="str">
        <f t="shared" si="3"/>
        <v/>
      </c>
      <c r="G38" s="8" t="str">
        <f t="shared" si="4"/>
        <v/>
      </c>
      <c r="H38" s="8" t="str">
        <f t="shared" si="5"/>
        <v/>
      </c>
    </row>
    <row r="39" spans="1:14" ht="21" customHeight="1" x14ac:dyDescent="0.25">
      <c r="A39" s="7"/>
      <c r="B39" s="7"/>
      <c r="C39" s="8" t="str">
        <f t="shared" si="0"/>
        <v/>
      </c>
      <c r="D39" s="8" t="str">
        <f t="shared" si="1"/>
        <v/>
      </c>
      <c r="E39" s="8" t="str">
        <f t="shared" si="2"/>
        <v/>
      </c>
      <c r="F39" s="8" t="str">
        <f t="shared" si="3"/>
        <v/>
      </c>
      <c r="G39" s="8" t="str">
        <f t="shared" si="4"/>
        <v/>
      </c>
      <c r="H39" s="8" t="str">
        <f t="shared" si="5"/>
        <v/>
      </c>
    </row>
    <row r="40" spans="1:14" ht="21" customHeight="1" x14ac:dyDescent="0.25">
      <c r="A40" s="7"/>
      <c r="B40" s="7"/>
      <c r="C40" s="8" t="str">
        <f t="shared" si="0"/>
        <v/>
      </c>
      <c r="D40" s="8" t="str">
        <f t="shared" si="1"/>
        <v/>
      </c>
      <c r="E40" s="8" t="str">
        <f t="shared" si="2"/>
        <v/>
      </c>
      <c r="F40" s="8" t="str">
        <f t="shared" si="3"/>
        <v/>
      </c>
      <c r="G40" s="8" t="str">
        <f t="shared" si="4"/>
        <v/>
      </c>
      <c r="H40" s="8" t="str">
        <f t="shared" si="5"/>
        <v/>
      </c>
    </row>
    <row r="41" spans="1:14" ht="21" customHeight="1" x14ac:dyDescent="0.25">
      <c r="A41" s="7"/>
      <c r="B41" s="7"/>
      <c r="C41" s="8" t="str">
        <f t="shared" si="0"/>
        <v/>
      </c>
      <c r="D41" s="8" t="str">
        <f t="shared" si="1"/>
        <v/>
      </c>
      <c r="E41" s="8" t="str">
        <f t="shared" si="2"/>
        <v/>
      </c>
      <c r="F41" s="8" t="str">
        <f t="shared" si="3"/>
        <v/>
      </c>
      <c r="G41" s="8" t="str">
        <f t="shared" si="4"/>
        <v/>
      </c>
      <c r="H41" s="8" t="str">
        <f t="shared" si="5"/>
        <v/>
      </c>
    </row>
    <row r="42" spans="1:14" ht="21" customHeight="1" x14ac:dyDescent="0.25">
      <c r="A42" s="11" t="s">
        <v>47</v>
      </c>
      <c r="B42" s="12">
        <f>SUM(B7:B41)</f>
        <v>0</v>
      </c>
      <c r="C42" s="12">
        <f>SUM(C7:C41)</f>
        <v>0</v>
      </c>
      <c r="D42" s="12">
        <f>SUM(D7:D41)</f>
        <v>0</v>
      </c>
      <c r="E42" s="12">
        <f>SUM(E7:E41)</f>
        <v>0</v>
      </c>
      <c r="F42" s="13"/>
      <c r="G42" s="13"/>
      <c r="H42" s="12">
        <f>SUM(H7:H41)</f>
        <v>0</v>
      </c>
      <c r="I42" s="13"/>
      <c r="J42" s="13"/>
      <c r="K42" s="13"/>
      <c r="L42" s="13"/>
      <c r="M42" s="13"/>
      <c r="N42" s="13"/>
    </row>
    <row r="43" spans="1:14" ht="21" customHeight="1" x14ac:dyDescent="0.25"/>
    <row r="44" spans="1:14" ht="21" customHeight="1" x14ac:dyDescent="0.25"/>
  </sheetData>
  <mergeCells count="4">
    <mergeCell ref="A4:H4"/>
    <mergeCell ref="J4:L4"/>
    <mergeCell ref="A2:N2"/>
    <mergeCell ref="A1:N1"/>
  </mergeCells>
  <pageMargins left="0.75" right="0.75" top="1" bottom="1" header="0.5" footer="0.5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4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11" customWidth="1"/>
    <col min="2" max="4" width="12" customWidth="1"/>
    <col min="5" max="5" width="14" customWidth="1"/>
    <col min="6" max="6" width="12" customWidth="1"/>
    <col min="7" max="7" width="14" customWidth="1"/>
    <col min="8" max="9" width="12" customWidth="1"/>
    <col min="11" max="11" width="18" customWidth="1"/>
    <col min="12" max="12" width="16" customWidth="1"/>
    <col min="13" max="13" width="40" customWidth="1"/>
  </cols>
  <sheetData>
    <row r="1" spans="1:14" ht="24" customHeight="1" x14ac:dyDescent="0.25">
      <c r="A1" s="18" t="s">
        <v>82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24" customHeight="1" x14ac:dyDescent="0.25">
      <c r="A2" s="24" t="s">
        <v>83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1" customHeight="1" x14ac:dyDescent="0.25"/>
    <row r="4" spans="1:14" ht="21" customHeight="1" x14ac:dyDescent="0.25">
      <c r="A4" s="19" t="s">
        <v>21</v>
      </c>
      <c r="B4" s="19"/>
      <c r="C4" s="19"/>
      <c r="D4" s="19"/>
      <c r="E4" s="19"/>
      <c r="F4" s="19"/>
      <c r="G4" s="19"/>
      <c r="H4" s="19"/>
      <c r="K4" s="19" t="s">
        <v>65</v>
      </c>
      <c r="L4" s="19"/>
      <c r="M4" s="19"/>
    </row>
    <row r="5" spans="1:14" ht="21" customHeight="1" x14ac:dyDescent="0.25">
      <c r="A5" s="3" t="s">
        <v>23</v>
      </c>
    </row>
    <row r="6" spans="1:14" ht="24" customHeight="1" x14ac:dyDescent="0.25">
      <c r="A6" s="2" t="s">
        <v>24</v>
      </c>
      <c r="B6" s="2" t="s">
        <v>25</v>
      </c>
      <c r="C6" s="2" t="s">
        <v>66</v>
      </c>
      <c r="D6" s="2" t="s">
        <v>75</v>
      </c>
      <c r="E6" s="2" t="s">
        <v>84</v>
      </c>
      <c r="F6" s="2" t="s">
        <v>67</v>
      </c>
      <c r="G6" s="2" t="s">
        <v>28</v>
      </c>
      <c r="H6" s="2" t="s">
        <v>29</v>
      </c>
      <c r="I6" s="2" t="s">
        <v>30</v>
      </c>
      <c r="K6" s="4" t="s">
        <v>32</v>
      </c>
      <c r="L6" s="5">
        <f>COUNTA(A7:A41)</f>
        <v>0</v>
      </c>
    </row>
    <row r="7" spans="1:14" ht="21" customHeight="1" x14ac:dyDescent="0.25">
      <c r="A7" s="7"/>
      <c r="B7" s="7"/>
      <c r="C7" s="8" t="str">
        <f t="shared" ref="C7:C41" si="0">IF(OR(A7="",B7=""),"",LN(A7))</f>
        <v/>
      </c>
      <c r="D7" s="8" t="str">
        <f t="shared" ref="D7:D41" si="1">IF(OR(A7="",B7=""),"",LN(B7))</f>
        <v/>
      </c>
      <c r="E7" s="8" t="str">
        <f t="shared" ref="E7:E41" si="2">IF(OR(C7="",D7=""),"",C7*D7)</f>
        <v/>
      </c>
      <c r="F7" s="8" t="str">
        <f t="shared" ref="F7:F41" si="3">IF(C7="","",C7^2)</f>
        <v/>
      </c>
      <c r="G7" s="8" t="str">
        <f t="shared" ref="G7:G41" si="4">IF(OR(A7="",B7=""),"",$L$9*A7^$L$10)</f>
        <v/>
      </c>
      <c r="H7" s="8" t="str">
        <f t="shared" ref="H7:H41" si="5">IF(G7="","",B7-G7)</f>
        <v/>
      </c>
      <c r="I7" s="8" t="str">
        <f t="shared" ref="I7:I41" si="6">IF(H7="","",H7^2)</f>
        <v/>
      </c>
      <c r="K7" s="4" t="s">
        <v>69</v>
      </c>
      <c r="L7" s="16" t="s">
        <v>70</v>
      </c>
    </row>
    <row r="8" spans="1:14" ht="21" customHeight="1" x14ac:dyDescent="0.25">
      <c r="A8" s="7"/>
      <c r="B8" s="7"/>
      <c r="C8" s="8" t="str">
        <f t="shared" si="0"/>
        <v/>
      </c>
      <c r="D8" s="8" t="str">
        <f t="shared" si="1"/>
        <v/>
      </c>
      <c r="E8" s="8" t="str">
        <f t="shared" si="2"/>
        <v/>
      </c>
      <c r="F8" s="8" t="str">
        <f t="shared" si="3"/>
        <v/>
      </c>
      <c r="G8" s="8" t="str">
        <f t="shared" si="4"/>
        <v/>
      </c>
      <c r="H8" s="8" t="str">
        <f t="shared" si="5"/>
        <v/>
      </c>
      <c r="I8" s="8" t="str">
        <f t="shared" si="6"/>
        <v/>
      </c>
      <c r="K8" s="4" t="s">
        <v>77</v>
      </c>
      <c r="L8" s="16" t="s">
        <v>70</v>
      </c>
    </row>
    <row r="9" spans="1:14" ht="21" customHeight="1" x14ac:dyDescent="0.25">
      <c r="A9" s="7"/>
      <c r="B9" s="7"/>
      <c r="C9" s="8" t="str">
        <f t="shared" si="0"/>
        <v/>
      </c>
      <c r="D9" s="8" t="str">
        <f t="shared" si="1"/>
        <v/>
      </c>
      <c r="E9" s="8" t="str">
        <f t="shared" si="2"/>
        <v/>
      </c>
      <c r="F9" s="8" t="str">
        <f t="shared" si="3"/>
        <v/>
      </c>
      <c r="G9" s="8" t="str">
        <f t="shared" si="4"/>
        <v/>
      </c>
      <c r="H9" s="8" t="str">
        <f t="shared" si="5"/>
        <v/>
      </c>
      <c r="I9" s="8" t="str">
        <f t="shared" si="6"/>
        <v/>
      </c>
      <c r="K9" s="4" t="s">
        <v>78</v>
      </c>
      <c r="L9" s="5" t="str">
        <f>IF(L11="","",EXP(L11))</f>
        <v/>
      </c>
    </row>
    <row r="10" spans="1:14" ht="21" customHeight="1" x14ac:dyDescent="0.25">
      <c r="A10" s="7"/>
      <c r="B10" s="7"/>
      <c r="C10" s="8" t="str">
        <f t="shared" si="0"/>
        <v/>
      </c>
      <c r="D10" s="8" t="str">
        <f t="shared" si="1"/>
        <v/>
      </c>
      <c r="E10" s="8" t="str">
        <f t="shared" si="2"/>
        <v/>
      </c>
      <c r="F10" s="8" t="str">
        <f t="shared" si="3"/>
        <v/>
      </c>
      <c r="G10" s="8" t="str">
        <f t="shared" si="4"/>
        <v/>
      </c>
      <c r="H10" s="8" t="str">
        <f t="shared" si="5"/>
        <v/>
      </c>
      <c r="I10" s="8" t="str">
        <f t="shared" si="6"/>
        <v/>
      </c>
      <c r="K10" s="4" t="s">
        <v>57</v>
      </c>
      <c r="L10" s="5" t="str">
        <f>IF(L6&lt;2,"",(L6*E42-C42*D42)/(L6*F42-C42^2))</f>
        <v/>
      </c>
    </row>
    <row r="11" spans="1:14" ht="21" customHeight="1" x14ac:dyDescent="0.25">
      <c r="A11" s="7"/>
      <c r="B11" s="7"/>
      <c r="C11" s="8" t="str">
        <f t="shared" si="0"/>
        <v/>
      </c>
      <c r="D11" s="8" t="str">
        <f t="shared" si="1"/>
        <v/>
      </c>
      <c r="E11" s="8" t="str">
        <f t="shared" si="2"/>
        <v/>
      </c>
      <c r="F11" s="8" t="str">
        <f t="shared" si="3"/>
        <v/>
      </c>
      <c r="G11" s="8" t="str">
        <f t="shared" si="4"/>
        <v/>
      </c>
      <c r="H11" s="8" t="str">
        <f t="shared" si="5"/>
        <v/>
      </c>
      <c r="I11" s="8" t="str">
        <f t="shared" si="6"/>
        <v/>
      </c>
      <c r="K11" s="4" t="s">
        <v>36</v>
      </c>
      <c r="L11" s="5" t="str">
        <f>IF(L6&lt;2,"",(D42-L10*C42)/L6)</f>
        <v/>
      </c>
    </row>
    <row r="12" spans="1:14" ht="21" customHeight="1" x14ac:dyDescent="0.25">
      <c r="A12" s="7"/>
      <c r="B12" s="7"/>
      <c r="C12" s="8" t="str">
        <f t="shared" si="0"/>
        <v/>
      </c>
      <c r="D12" s="8" t="str">
        <f t="shared" si="1"/>
        <v/>
      </c>
      <c r="E12" s="8" t="str">
        <f t="shared" si="2"/>
        <v/>
      </c>
      <c r="F12" s="8" t="str">
        <f t="shared" si="3"/>
        <v/>
      </c>
      <c r="G12" s="8" t="str">
        <f t="shared" si="4"/>
        <v/>
      </c>
      <c r="H12" s="8" t="str">
        <f t="shared" si="5"/>
        <v/>
      </c>
      <c r="I12" s="8" t="str">
        <f t="shared" si="6"/>
        <v/>
      </c>
      <c r="K12" s="4" t="s">
        <v>38</v>
      </c>
      <c r="L12" s="5" t="str">
        <f>IF(L6&lt;2,"",1-SUM(I7:I41)/DEVSQ(B7:B41))</f>
        <v/>
      </c>
    </row>
    <row r="13" spans="1:14" ht="21" customHeight="1" x14ac:dyDescent="0.25">
      <c r="A13" s="7"/>
      <c r="B13" s="7"/>
      <c r="C13" s="8" t="str">
        <f t="shared" si="0"/>
        <v/>
      </c>
      <c r="D13" s="8" t="str">
        <f t="shared" si="1"/>
        <v/>
      </c>
      <c r="E13" s="8" t="str">
        <f t="shared" si="2"/>
        <v/>
      </c>
      <c r="F13" s="8" t="str">
        <f t="shared" si="3"/>
        <v/>
      </c>
      <c r="G13" s="8" t="str">
        <f t="shared" si="4"/>
        <v/>
      </c>
      <c r="H13" s="8" t="str">
        <f t="shared" si="5"/>
        <v/>
      </c>
      <c r="I13" s="8" t="str">
        <f t="shared" si="6"/>
        <v/>
      </c>
      <c r="K13" s="4" t="s">
        <v>40</v>
      </c>
      <c r="L13" s="5" t="str">
        <f>IF(L6=0,"",SUM(I7:I41)/L6)</f>
        <v/>
      </c>
    </row>
    <row r="14" spans="1:14" ht="21" customHeight="1" x14ac:dyDescent="0.25">
      <c r="A14" s="7"/>
      <c r="B14" s="7"/>
      <c r="C14" s="8" t="str">
        <f t="shared" si="0"/>
        <v/>
      </c>
      <c r="D14" s="8" t="str">
        <f t="shared" si="1"/>
        <v/>
      </c>
      <c r="E14" s="8" t="str">
        <f t="shared" si="2"/>
        <v/>
      </c>
      <c r="F14" s="8" t="str">
        <f t="shared" si="3"/>
        <v/>
      </c>
      <c r="G14" s="8" t="str">
        <f t="shared" si="4"/>
        <v/>
      </c>
      <c r="H14" s="8" t="str">
        <f t="shared" si="5"/>
        <v/>
      </c>
      <c r="I14" s="8" t="str">
        <f t="shared" si="6"/>
        <v/>
      </c>
    </row>
    <row r="15" spans="1:14" ht="21" customHeight="1" x14ac:dyDescent="0.25">
      <c r="A15" s="7"/>
      <c r="B15" s="7"/>
      <c r="C15" s="8" t="str">
        <f t="shared" si="0"/>
        <v/>
      </c>
      <c r="D15" s="8" t="str">
        <f t="shared" si="1"/>
        <v/>
      </c>
      <c r="E15" s="8" t="str">
        <f t="shared" si="2"/>
        <v/>
      </c>
      <c r="F15" s="8" t="str">
        <f t="shared" si="3"/>
        <v/>
      </c>
      <c r="G15" s="8" t="str">
        <f t="shared" si="4"/>
        <v/>
      </c>
      <c r="H15" s="8" t="str">
        <f t="shared" si="5"/>
        <v/>
      </c>
      <c r="I15" s="8" t="str">
        <f t="shared" si="6"/>
        <v/>
      </c>
      <c r="K15" s="1" t="s">
        <v>46</v>
      </c>
      <c r="L15" s="10" t="str">
        <f>IF(L6&lt;2,"","y = "&amp;TEXT(L9,"0.000000")&amp;" x^"&amp;TEXT(L10,"0.000000"))</f>
        <v/>
      </c>
    </row>
    <row r="16" spans="1:14" ht="21" customHeight="1" x14ac:dyDescent="0.25">
      <c r="A16" s="7"/>
      <c r="B16" s="7"/>
      <c r="C16" s="8" t="str">
        <f t="shared" si="0"/>
        <v/>
      </c>
      <c r="D16" s="8" t="str">
        <f t="shared" si="1"/>
        <v/>
      </c>
      <c r="E16" s="8" t="str">
        <f t="shared" si="2"/>
        <v/>
      </c>
      <c r="F16" s="8" t="str">
        <f t="shared" si="3"/>
        <v/>
      </c>
      <c r="G16" s="8" t="str">
        <f t="shared" si="4"/>
        <v/>
      </c>
      <c r="H16" s="8" t="str">
        <f t="shared" si="5"/>
        <v/>
      </c>
      <c r="I16" s="8" t="str">
        <f t="shared" si="6"/>
        <v/>
      </c>
    </row>
    <row r="17" spans="1:12" ht="21" customHeight="1" x14ac:dyDescent="0.25">
      <c r="A17" s="7"/>
      <c r="B17" s="7"/>
      <c r="C17" s="8" t="str">
        <f t="shared" si="0"/>
        <v/>
      </c>
      <c r="D17" s="8" t="str">
        <f t="shared" si="1"/>
        <v/>
      </c>
      <c r="E17" s="8" t="str">
        <f t="shared" si="2"/>
        <v/>
      </c>
      <c r="F17" s="8" t="str">
        <f t="shared" si="3"/>
        <v/>
      </c>
      <c r="G17" s="8" t="str">
        <f t="shared" si="4"/>
        <v/>
      </c>
      <c r="H17" s="8" t="str">
        <f t="shared" si="5"/>
        <v/>
      </c>
      <c r="I17" s="8" t="str">
        <f t="shared" si="6"/>
        <v/>
      </c>
      <c r="K17" s="6" t="s">
        <v>79</v>
      </c>
      <c r="L17" s="17" t="e">
        <f>(n*SUM(xY)-SUM(X)*SUM(y))/(n*SUM(X^2)-SUM(X)^2)</f>
        <v>#NAME?</v>
      </c>
    </row>
    <row r="18" spans="1:12" ht="21" customHeight="1" x14ac:dyDescent="0.25">
      <c r="A18" s="7"/>
      <c r="B18" s="7"/>
      <c r="C18" s="8" t="str">
        <f t="shared" si="0"/>
        <v/>
      </c>
      <c r="D18" s="8" t="str">
        <f t="shared" si="1"/>
        <v/>
      </c>
      <c r="E18" s="8" t="str">
        <f t="shared" si="2"/>
        <v/>
      </c>
      <c r="F18" s="8" t="str">
        <f t="shared" si="3"/>
        <v/>
      </c>
      <c r="G18" s="8" t="str">
        <f t="shared" si="4"/>
        <v/>
      </c>
      <c r="H18" s="8" t="str">
        <f t="shared" si="5"/>
        <v/>
      </c>
      <c r="I18" s="8" t="str">
        <f t="shared" si="6"/>
        <v/>
      </c>
      <c r="K18" s="6" t="s">
        <v>80</v>
      </c>
      <c r="L18" s="17" t="e">
        <f>(SUM(y)-b*SUM(X))/n</f>
        <v>#NAME?</v>
      </c>
    </row>
    <row r="19" spans="1:12" ht="21" customHeight="1" x14ac:dyDescent="0.25">
      <c r="A19" s="7"/>
      <c r="B19" s="7"/>
      <c r="C19" s="8" t="str">
        <f t="shared" si="0"/>
        <v/>
      </c>
      <c r="D19" s="8" t="str">
        <f t="shared" si="1"/>
        <v/>
      </c>
      <c r="E19" s="8" t="str">
        <f t="shared" si="2"/>
        <v/>
      </c>
      <c r="F19" s="8" t="str">
        <f t="shared" si="3"/>
        <v/>
      </c>
      <c r="G19" s="8" t="str">
        <f t="shared" si="4"/>
        <v/>
      </c>
      <c r="H19" s="8" t="str">
        <f t="shared" si="5"/>
        <v/>
      </c>
      <c r="I19" s="8" t="str">
        <f t="shared" si="6"/>
        <v/>
      </c>
      <c r="K19" s="6" t="s">
        <v>81</v>
      </c>
      <c r="L19" s="17" t="e">
        <f>EXP(LN(a))</f>
        <v>#NAME?</v>
      </c>
    </row>
    <row r="20" spans="1:12" ht="21" customHeight="1" x14ac:dyDescent="0.25">
      <c r="A20" s="7"/>
      <c r="B20" s="7"/>
      <c r="C20" s="8" t="str">
        <f t="shared" si="0"/>
        <v/>
      </c>
      <c r="D20" s="8" t="str">
        <f t="shared" si="1"/>
        <v/>
      </c>
      <c r="E20" s="8" t="str">
        <f t="shared" si="2"/>
        <v/>
      </c>
      <c r="F20" s="8" t="str">
        <f t="shared" si="3"/>
        <v/>
      </c>
      <c r="G20" s="8" t="str">
        <f t="shared" si="4"/>
        <v/>
      </c>
      <c r="H20" s="8" t="str">
        <f t="shared" si="5"/>
        <v/>
      </c>
      <c r="I20" s="8" t="str">
        <f t="shared" si="6"/>
        <v/>
      </c>
    </row>
    <row r="21" spans="1:12" ht="21" customHeight="1" x14ac:dyDescent="0.25">
      <c r="A21" s="7"/>
      <c r="B21" s="7"/>
      <c r="C21" s="8" t="str">
        <f t="shared" si="0"/>
        <v/>
      </c>
      <c r="D21" s="8" t="str">
        <f t="shared" si="1"/>
        <v/>
      </c>
      <c r="E21" s="8" t="str">
        <f t="shared" si="2"/>
        <v/>
      </c>
      <c r="F21" s="8" t="str">
        <f t="shared" si="3"/>
        <v/>
      </c>
      <c r="G21" s="8" t="str">
        <f t="shared" si="4"/>
        <v/>
      </c>
      <c r="H21" s="8" t="str">
        <f t="shared" si="5"/>
        <v/>
      </c>
      <c r="I21" s="8" t="str">
        <f t="shared" si="6"/>
        <v/>
      </c>
    </row>
    <row r="22" spans="1:12" ht="21" customHeight="1" x14ac:dyDescent="0.25">
      <c r="A22" s="7"/>
      <c r="B22" s="7"/>
      <c r="C22" s="8" t="str">
        <f t="shared" si="0"/>
        <v/>
      </c>
      <c r="D22" s="8" t="str">
        <f t="shared" si="1"/>
        <v/>
      </c>
      <c r="E22" s="8" t="str">
        <f t="shared" si="2"/>
        <v/>
      </c>
      <c r="F22" s="8" t="str">
        <f t="shared" si="3"/>
        <v/>
      </c>
      <c r="G22" s="8" t="str">
        <f t="shared" si="4"/>
        <v/>
      </c>
      <c r="H22" s="8" t="str">
        <f t="shared" si="5"/>
        <v/>
      </c>
      <c r="I22" s="8" t="str">
        <f t="shared" si="6"/>
        <v/>
      </c>
    </row>
    <row r="23" spans="1:12" ht="21" customHeight="1" x14ac:dyDescent="0.25">
      <c r="A23" s="7"/>
      <c r="B23" s="7"/>
      <c r="C23" s="8" t="str">
        <f t="shared" si="0"/>
        <v/>
      </c>
      <c r="D23" s="8" t="str">
        <f t="shared" si="1"/>
        <v/>
      </c>
      <c r="E23" s="8" t="str">
        <f t="shared" si="2"/>
        <v/>
      </c>
      <c r="F23" s="8" t="str">
        <f t="shared" si="3"/>
        <v/>
      </c>
      <c r="G23" s="8" t="str">
        <f t="shared" si="4"/>
        <v/>
      </c>
      <c r="H23" s="8" t="str">
        <f t="shared" si="5"/>
        <v/>
      </c>
      <c r="I23" s="8" t="str">
        <f t="shared" si="6"/>
        <v/>
      </c>
    </row>
    <row r="24" spans="1:12" ht="21" customHeight="1" x14ac:dyDescent="0.25">
      <c r="A24" s="7"/>
      <c r="B24" s="7"/>
      <c r="C24" s="8" t="str">
        <f t="shared" si="0"/>
        <v/>
      </c>
      <c r="D24" s="8" t="str">
        <f t="shared" si="1"/>
        <v/>
      </c>
      <c r="E24" s="8" t="str">
        <f t="shared" si="2"/>
        <v/>
      </c>
      <c r="F24" s="8" t="str">
        <f t="shared" si="3"/>
        <v/>
      </c>
      <c r="G24" s="8" t="str">
        <f t="shared" si="4"/>
        <v/>
      </c>
      <c r="H24" s="8" t="str">
        <f t="shared" si="5"/>
        <v/>
      </c>
      <c r="I24" s="8" t="str">
        <f t="shared" si="6"/>
        <v/>
      </c>
    </row>
    <row r="25" spans="1:12" ht="21" customHeight="1" x14ac:dyDescent="0.25">
      <c r="A25" s="7"/>
      <c r="B25" s="7"/>
      <c r="C25" s="8" t="str">
        <f t="shared" si="0"/>
        <v/>
      </c>
      <c r="D25" s="8" t="str">
        <f t="shared" si="1"/>
        <v/>
      </c>
      <c r="E25" s="8" t="str">
        <f t="shared" si="2"/>
        <v/>
      </c>
      <c r="F25" s="8" t="str">
        <f t="shared" si="3"/>
        <v/>
      </c>
      <c r="G25" s="8" t="str">
        <f t="shared" si="4"/>
        <v/>
      </c>
      <c r="H25" s="8" t="str">
        <f t="shared" si="5"/>
        <v/>
      </c>
      <c r="I25" s="8" t="str">
        <f t="shared" si="6"/>
        <v/>
      </c>
    </row>
    <row r="26" spans="1:12" ht="21" customHeight="1" x14ac:dyDescent="0.25">
      <c r="A26" s="7"/>
      <c r="B26" s="7"/>
      <c r="C26" s="8" t="str">
        <f t="shared" si="0"/>
        <v/>
      </c>
      <c r="D26" s="8" t="str">
        <f t="shared" si="1"/>
        <v/>
      </c>
      <c r="E26" s="8" t="str">
        <f t="shared" si="2"/>
        <v/>
      </c>
      <c r="F26" s="8" t="str">
        <f t="shared" si="3"/>
        <v/>
      </c>
      <c r="G26" s="8" t="str">
        <f t="shared" si="4"/>
        <v/>
      </c>
      <c r="H26" s="8" t="str">
        <f t="shared" si="5"/>
        <v/>
      </c>
      <c r="I26" s="8" t="str">
        <f t="shared" si="6"/>
        <v/>
      </c>
    </row>
    <row r="27" spans="1:12" ht="21" customHeight="1" x14ac:dyDescent="0.25">
      <c r="A27" s="7"/>
      <c r="B27" s="7"/>
      <c r="C27" s="8" t="str">
        <f t="shared" si="0"/>
        <v/>
      </c>
      <c r="D27" s="8" t="str">
        <f t="shared" si="1"/>
        <v/>
      </c>
      <c r="E27" s="8" t="str">
        <f t="shared" si="2"/>
        <v/>
      </c>
      <c r="F27" s="8" t="str">
        <f t="shared" si="3"/>
        <v/>
      </c>
      <c r="G27" s="8" t="str">
        <f t="shared" si="4"/>
        <v/>
      </c>
      <c r="H27" s="8" t="str">
        <f t="shared" si="5"/>
        <v/>
      </c>
      <c r="I27" s="8" t="str">
        <f t="shared" si="6"/>
        <v/>
      </c>
    </row>
    <row r="28" spans="1:12" ht="21" customHeight="1" x14ac:dyDescent="0.25">
      <c r="A28" s="7"/>
      <c r="B28" s="7"/>
      <c r="C28" s="8" t="str">
        <f t="shared" si="0"/>
        <v/>
      </c>
      <c r="D28" s="8" t="str">
        <f t="shared" si="1"/>
        <v/>
      </c>
      <c r="E28" s="8" t="str">
        <f t="shared" si="2"/>
        <v/>
      </c>
      <c r="F28" s="8" t="str">
        <f t="shared" si="3"/>
        <v/>
      </c>
      <c r="G28" s="8" t="str">
        <f t="shared" si="4"/>
        <v/>
      </c>
      <c r="H28" s="8" t="str">
        <f t="shared" si="5"/>
        <v/>
      </c>
      <c r="I28" s="8" t="str">
        <f t="shared" si="6"/>
        <v/>
      </c>
    </row>
    <row r="29" spans="1:12" ht="21" customHeight="1" x14ac:dyDescent="0.25">
      <c r="A29" s="7"/>
      <c r="B29" s="7"/>
      <c r="C29" s="8" t="str">
        <f t="shared" si="0"/>
        <v/>
      </c>
      <c r="D29" s="8" t="str">
        <f t="shared" si="1"/>
        <v/>
      </c>
      <c r="E29" s="8" t="str">
        <f t="shared" si="2"/>
        <v/>
      </c>
      <c r="F29" s="8" t="str">
        <f t="shared" si="3"/>
        <v/>
      </c>
      <c r="G29" s="8" t="str">
        <f t="shared" si="4"/>
        <v/>
      </c>
      <c r="H29" s="8" t="str">
        <f t="shared" si="5"/>
        <v/>
      </c>
      <c r="I29" s="8" t="str">
        <f t="shared" si="6"/>
        <v/>
      </c>
    </row>
    <row r="30" spans="1:12" ht="21" customHeight="1" x14ac:dyDescent="0.25">
      <c r="A30" s="7"/>
      <c r="B30" s="7"/>
      <c r="C30" s="8" t="str">
        <f t="shared" si="0"/>
        <v/>
      </c>
      <c r="D30" s="8" t="str">
        <f t="shared" si="1"/>
        <v/>
      </c>
      <c r="E30" s="8" t="str">
        <f t="shared" si="2"/>
        <v/>
      </c>
      <c r="F30" s="8" t="str">
        <f t="shared" si="3"/>
        <v/>
      </c>
      <c r="G30" s="8" t="str">
        <f t="shared" si="4"/>
        <v/>
      </c>
      <c r="H30" s="8" t="str">
        <f t="shared" si="5"/>
        <v/>
      </c>
      <c r="I30" s="8" t="str">
        <f t="shared" si="6"/>
        <v/>
      </c>
    </row>
    <row r="31" spans="1:12" ht="21" customHeight="1" x14ac:dyDescent="0.25">
      <c r="A31" s="7"/>
      <c r="B31" s="7"/>
      <c r="C31" s="8" t="str">
        <f t="shared" si="0"/>
        <v/>
      </c>
      <c r="D31" s="8" t="str">
        <f t="shared" si="1"/>
        <v/>
      </c>
      <c r="E31" s="8" t="str">
        <f t="shared" si="2"/>
        <v/>
      </c>
      <c r="F31" s="8" t="str">
        <f t="shared" si="3"/>
        <v/>
      </c>
      <c r="G31" s="8" t="str">
        <f t="shared" si="4"/>
        <v/>
      </c>
      <c r="H31" s="8" t="str">
        <f t="shared" si="5"/>
        <v/>
      </c>
      <c r="I31" s="8" t="str">
        <f t="shared" si="6"/>
        <v/>
      </c>
    </row>
    <row r="32" spans="1:12" ht="21" customHeight="1" x14ac:dyDescent="0.25">
      <c r="A32" s="7"/>
      <c r="B32" s="7"/>
      <c r="C32" s="8" t="str">
        <f t="shared" si="0"/>
        <v/>
      </c>
      <c r="D32" s="8" t="str">
        <f t="shared" si="1"/>
        <v/>
      </c>
      <c r="E32" s="8" t="str">
        <f t="shared" si="2"/>
        <v/>
      </c>
      <c r="F32" s="8" t="str">
        <f t="shared" si="3"/>
        <v/>
      </c>
      <c r="G32" s="8" t="str">
        <f t="shared" si="4"/>
        <v/>
      </c>
      <c r="H32" s="8" t="str">
        <f t="shared" si="5"/>
        <v/>
      </c>
      <c r="I32" s="8" t="str">
        <f t="shared" si="6"/>
        <v/>
      </c>
    </row>
    <row r="33" spans="1:14" ht="21" customHeight="1" x14ac:dyDescent="0.25">
      <c r="A33" s="7"/>
      <c r="B33" s="7"/>
      <c r="C33" s="8" t="str">
        <f t="shared" si="0"/>
        <v/>
      </c>
      <c r="D33" s="8" t="str">
        <f t="shared" si="1"/>
        <v/>
      </c>
      <c r="E33" s="8" t="str">
        <f t="shared" si="2"/>
        <v/>
      </c>
      <c r="F33" s="8" t="str">
        <f t="shared" si="3"/>
        <v/>
      </c>
      <c r="G33" s="8" t="str">
        <f t="shared" si="4"/>
        <v/>
      </c>
      <c r="H33" s="8" t="str">
        <f t="shared" si="5"/>
        <v/>
      </c>
      <c r="I33" s="8" t="str">
        <f t="shared" si="6"/>
        <v/>
      </c>
    </row>
    <row r="34" spans="1:14" ht="21" customHeight="1" x14ac:dyDescent="0.25">
      <c r="A34" s="7"/>
      <c r="B34" s="7"/>
      <c r="C34" s="8" t="str">
        <f t="shared" si="0"/>
        <v/>
      </c>
      <c r="D34" s="8" t="str">
        <f t="shared" si="1"/>
        <v/>
      </c>
      <c r="E34" s="8" t="str">
        <f t="shared" si="2"/>
        <v/>
      </c>
      <c r="F34" s="8" t="str">
        <f t="shared" si="3"/>
        <v/>
      </c>
      <c r="G34" s="8" t="str">
        <f t="shared" si="4"/>
        <v/>
      </c>
      <c r="H34" s="8" t="str">
        <f t="shared" si="5"/>
        <v/>
      </c>
      <c r="I34" s="8" t="str">
        <f t="shared" si="6"/>
        <v/>
      </c>
    </row>
    <row r="35" spans="1:14" ht="21" customHeight="1" x14ac:dyDescent="0.25">
      <c r="A35" s="7"/>
      <c r="B35" s="7"/>
      <c r="C35" s="8" t="str">
        <f t="shared" si="0"/>
        <v/>
      </c>
      <c r="D35" s="8" t="str">
        <f t="shared" si="1"/>
        <v/>
      </c>
      <c r="E35" s="8" t="str">
        <f t="shared" si="2"/>
        <v/>
      </c>
      <c r="F35" s="8" t="str">
        <f t="shared" si="3"/>
        <v/>
      </c>
      <c r="G35" s="8" t="str">
        <f t="shared" si="4"/>
        <v/>
      </c>
      <c r="H35" s="8" t="str">
        <f t="shared" si="5"/>
        <v/>
      </c>
      <c r="I35" s="8" t="str">
        <f t="shared" si="6"/>
        <v/>
      </c>
    </row>
    <row r="36" spans="1:14" ht="21" customHeight="1" x14ac:dyDescent="0.25">
      <c r="A36" s="7"/>
      <c r="B36" s="7"/>
      <c r="C36" s="8" t="str">
        <f t="shared" si="0"/>
        <v/>
      </c>
      <c r="D36" s="8" t="str">
        <f t="shared" si="1"/>
        <v/>
      </c>
      <c r="E36" s="8" t="str">
        <f t="shared" si="2"/>
        <v/>
      </c>
      <c r="F36" s="8" t="str">
        <f t="shared" si="3"/>
        <v/>
      </c>
      <c r="G36" s="8" t="str">
        <f t="shared" si="4"/>
        <v/>
      </c>
      <c r="H36" s="8" t="str">
        <f t="shared" si="5"/>
        <v/>
      </c>
      <c r="I36" s="8" t="str">
        <f t="shared" si="6"/>
        <v/>
      </c>
    </row>
    <row r="37" spans="1:14" ht="21" customHeight="1" x14ac:dyDescent="0.25">
      <c r="A37" s="7"/>
      <c r="B37" s="7"/>
      <c r="C37" s="8" t="str">
        <f t="shared" si="0"/>
        <v/>
      </c>
      <c r="D37" s="8" t="str">
        <f t="shared" si="1"/>
        <v/>
      </c>
      <c r="E37" s="8" t="str">
        <f t="shared" si="2"/>
        <v/>
      </c>
      <c r="F37" s="8" t="str">
        <f t="shared" si="3"/>
        <v/>
      </c>
      <c r="G37" s="8" t="str">
        <f t="shared" si="4"/>
        <v/>
      </c>
      <c r="H37" s="8" t="str">
        <f t="shared" si="5"/>
        <v/>
      </c>
      <c r="I37" s="8" t="str">
        <f t="shared" si="6"/>
        <v/>
      </c>
    </row>
    <row r="38" spans="1:14" ht="21" customHeight="1" x14ac:dyDescent="0.25">
      <c r="A38" s="7"/>
      <c r="B38" s="7"/>
      <c r="C38" s="8" t="str">
        <f t="shared" si="0"/>
        <v/>
      </c>
      <c r="D38" s="8" t="str">
        <f t="shared" si="1"/>
        <v/>
      </c>
      <c r="E38" s="8" t="str">
        <f t="shared" si="2"/>
        <v/>
      </c>
      <c r="F38" s="8" t="str">
        <f t="shared" si="3"/>
        <v/>
      </c>
      <c r="G38" s="8" t="str">
        <f t="shared" si="4"/>
        <v/>
      </c>
      <c r="H38" s="8" t="str">
        <f t="shared" si="5"/>
        <v/>
      </c>
      <c r="I38" s="8" t="str">
        <f t="shared" si="6"/>
        <v/>
      </c>
    </row>
    <row r="39" spans="1:14" ht="21" customHeight="1" x14ac:dyDescent="0.25">
      <c r="A39" s="7"/>
      <c r="B39" s="7"/>
      <c r="C39" s="8" t="str">
        <f t="shared" si="0"/>
        <v/>
      </c>
      <c r="D39" s="8" t="str">
        <f t="shared" si="1"/>
        <v/>
      </c>
      <c r="E39" s="8" t="str">
        <f t="shared" si="2"/>
        <v/>
      </c>
      <c r="F39" s="8" t="str">
        <f t="shared" si="3"/>
        <v/>
      </c>
      <c r="G39" s="8" t="str">
        <f t="shared" si="4"/>
        <v/>
      </c>
      <c r="H39" s="8" t="str">
        <f t="shared" si="5"/>
        <v/>
      </c>
      <c r="I39" s="8" t="str">
        <f t="shared" si="6"/>
        <v/>
      </c>
    </row>
    <row r="40" spans="1:14" ht="21" customHeight="1" x14ac:dyDescent="0.25">
      <c r="A40" s="7"/>
      <c r="B40" s="7"/>
      <c r="C40" s="8" t="str">
        <f t="shared" si="0"/>
        <v/>
      </c>
      <c r="D40" s="8" t="str">
        <f t="shared" si="1"/>
        <v/>
      </c>
      <c r="E40" s="8" t="str">
        <f t="shared" si="2"/>
        <v/>
      </c>
      <c r="F40" s="8" t="str">
        <f t="shared" si="3"/>
        <v/>
      </c>
      <c r="G40" s="8" t="str">
        <f t="shared" si="4"/>
        <v/>
      </c>
      <c r="H40" s="8" t="str">
        <f t="shared" si="5"/>
        <v/>
      </c>
      <c r="I40" s="8" t="str">
        <f t="shared" si="6"/>
        <v/>
      </c>
    </row>
    <row r="41" spans="1:14" ht="21" customHeight="1" x14ac:dyDescent="0.25">
      <c r="A41" s="7"/>
      <c r="B41" s="7"/>
      <c r="C41" s="8" t="str">
        <f t="shared" si="0"/>
        <v/>
      </c>
      <c r="D41" s="8" t="str">
        <f t="shared" si="1"/>
        <v/>
      </c>
      <c r="E41" s="8" t="str">
        <f t="shared" si="2"/>
        <v/>
      </c>
      <c r="F41" s="8" t="str">
        <f t="shared" si="3"/>
        <v/>
      </c>
      <c r="G41" s="8" t="str">
        <f t="shared" si="4"/>
        <v/>
      </c>
      <c r="H41" s="8" t="str">
        <f t="shared" si="5"/>
        <v/>
      </c>
      <c r="I41" s="8" t="str">
        <f t="shared" si="6"/>
        <v/>
      </c>
    </row>
    <row r="42" spans="1:14" ht="21" customHeight="1" x14ac:dyDescent="0.25">
      <c r="A42" s="11" t="s">
        <v>47</v>
      </c>
      <c r="B42" s="12">
        <f>SUM(B7:B41)</f>
        <v>0</v>
      </c>
      <c r="C42" s="12">
        <f>SUM(C7:C41)</f>
        <v>0</v>
      </c>
      <c r="D42" s="12">
        <f>SUM(D7:D41)</f>
        <v>0</v>
      </c>
      <c r="E42" s="12">
        <f>SUM(E7:E41)</f>
        <v>0</v>
      </c>
      <c r="F42" s="12">
        <f>SUM(F7:F41)</f>
        <v>0</v>
      </c>
      <c r="G42" s="13"/>
      <c r="H42" s="13"/>
      <c r="I42" s="12">
        <f>SUM(I7:I41)</f>
        <v>0</v>
      </c>
      <c r="J42" s="13"/>
      <c r="K42" s="13"/>
      <c r="L42" s="13"/>
      <c r="M42" s="13"/>
      <c r="N42" s="13"/>
    </row>
    <row r="43" spans="1:14" ht="21" customHeight="1" x14ac:dyDescent="0.25"/>
    <row r="44" spans="1:14" ht="21" customHeight="1" x14ac:dyDescent="0.25"/>
  </sheetData>
  <mergeCells count="4">
    <mergeCell ref="A4:H4"/>
    <mergeCell ref="K4:M4"/>
    <mergeCell ref="A2:N2"/>
    <mergeCell ref="A1:N1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INICIO</vt:lpstr>
      <vt:lpstr>LINEAL</vt:lpstr>
      <vt:lpstr>CUADRATICO</vt:lpstr>
      <vt:lpstr>LOGARITMICO</vt:lpstr>
      <vt:lpstr>EXPONENCIAL</vt:lpstr>
      <vt:lpstr>POTENCIA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Leandro Medrano Villa</cp:lastModifiedBy>
  <dcterms:created xsi:type="dcterms:W3CDTF">2026-04-09T14:03:28Z</dcterms:created>
  <dcterms:modified xsi:type="dcterms:W3CDTF">2026-04-09T14:10:06Z</dcterms:modified>
</cp:coreProperties>
</file>